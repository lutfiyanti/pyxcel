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726" codeName="{AE6600E7-7A62-396C-DE95-9942FA9DD81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Lutfiyanti\Desktop\AutoArima5\"/>
    </mc:Choice>
  </mc:AlternateContent>
  <xr:revisionPtr revIDLastSave="0" documentId="13_ncr:1_{D0DEF5C4-6F38-4781-A5FE-E3F775980932}" xr6:coauthVersionLast="47" xr6:coauthVersionMax="47" xr10:uidLastSave="{00000000-0000-0000-0000-000000000000}"/>
  <bookViews>
    <workbookView xWindow="-110" yWindow="-110" windowWidth="19420" windowHeight="10300" tabRatio="500" activeTab="1" xr2:uid="{00000000-000D-0000-FFFF-FFFF00000000}"/>
  </bookViews>
  <sheets>
    <sheet name="Fan Chart" sheetId="3" r:id="rId1"/>
    <sheet name="UV" sheetId="5" r:id="rId2"/>
    <sheet name="MV" sheetId="4" r:id="rId3"/>
    <sheet name="Sheet1" sheetId="1" r:id="rId4"/>
    <sheet name="_xlwings.conf" sheetId="2" r:id="rId5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ARon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AutoArim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  <x14:definedName name="ManArima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PAutoArima">
          <x14:argumentDescriptions count="1">
            <x14:argumentDescription index="0">Positional argument 1</x14:argumentDescription>
          </x14:argumentDescriptions>
        </x14:definedName>
        <x14:definedName name="xg_boost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xg_boost_tuning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7" i="3" l="1" a="1"/>
  <c r="B7" i="3"/>
  <c r="B8" i="3" a="1"/>
  <c r="B8" i="3"/>
  <c r="B9" i="3" a="1"/>
  <c r="B9" i="3"/>
  <c r="B10" i="3" a="1"/>
  <c r="B10" i="3" s="1"/>
  <c r="B11" i="3" a="1"/>
  <c r="B11" i="3"/>
  <c r="B12" i="3" a="1"/>
  <c r="B12" i="3"/>
  <c r="B13" i="3" a="1"/>
  <c r="B13" i="3"/>
  <c r="B14" i="3" a="1"/>
  <c r="B14" i="3" s="1"/>
  <c r="B15" i="3" a="1"/>
  <c r="B15" i="3"/>
  <c r="B16" i="3" a="1"/>
  <c r="B16" i="3"/>
  <c r="B17" i="3" a="1"/>
  <c r="B17" i="3"/>
  <c r="B18" i="3" a="1"/>
  <c r="B18" i="3" s="1"/>
  <c r="B19" i="3" a="1"/>
  <c r="B19" i="3"/>
  <c r="B20" i="3" a="1"/>
  <c r="B20" i="3"/>
  <c r="B21" i="3" a="1"/>
  <c r="B21" i="3"/>
  <c r="B22" i="3" a="1"/>
  <c r="B22" i="3" s="1"/>
  <c r="B23" i="3" a="1"/>
  <c r="B23" i="3"/>
  <c r="B24" i="3" a="1"/>
  <c r="B24" i="3"/>
  <c r="B25" i="3" a="1"/>
  <c r="B25" i="3"/>
  <c r="B26" i="3" a="1"/>
  <c r="B26" i="3" s="1"/>
  <c r="B27" i="3" a="1"/>
  <c r="B27" i="3"/>
  <c r="B28" i="3" a="1"/>
  <c r="B28" i="3"/>
  <c r="B29" i="3" a="1"/>
  <c r="B29" i="3"/>
  <c r="B30" i="3" a="1"/>
  <c r="B30" i="3" s="1"/>
  <c r="B31" i="3" a="1"/>
  <c r="B31" i="3"/>
  <c r="B32" i="3" a="1"/>
  <c r="B32" i="3"/>
  <c r="B33" i="3" a="1"/>
  <c r="B33" i="3"/>
  <c r="B34" i="3" a="1"/>
  <c r="B34" i="3" s="1"/>
  <c r="B35" i="3" a="1"/>
  <c r="B35" i="3"/>
  <c r="B36" i="3" a="1"/>
  <c r="B36" i="3"/>
  <c r="B37" i="3" a="1"/>
  <c r="B37" i="3"/>
  <c r="B38" i="3" a="1"/>
  <c r="B38" i="3" s="1"/>
  <c r="B39" i="3" a="1"/>
  <c r="B39" i="3"/>
  <c r="B40" i="3" a="1"/>
  <c r="B40" i="3"/>
  <c r="B41" i="3" a="1"/>
  <c r="B41" i="3"/>
  <c r="B42" i="3" a="1"/>
  <c r="B42" i="3" s="1"/>
  <c r="B43" i="3" a="1"/>
  <c r="B43" i="3"/>
  <c r="B44" i="3" a="1"/>
  <c r="B44" i="3"/>
  <c r="B45" i="3" a="1"/>
  <c r="B45" i="3" s="1"/>
  <c r="B46" i="3" a="1"/>
  <c r="B46" i="3" s="1"/>
  <c r="B47" i="3" a="1"/>
  <c r="B47" i="3"/>
  <c r="B48" i="3" a="1"/>
  <c r="B48" i="3"/>
  <c r="B49" i="3" a="1"/>
  <c r="B49" i="3"/>
  <c r="B50" i="3" a="1"/>
  <c r="B50" i="3" s="1"/>
  <c r="B51" i="3" a="1"/>
  <c r="B51" i="3"/>
  <c r="B52" i="3" a="1"/>
  <c r="B52" i="3"/>
  <c r="B54" i="3" a="1"/>
  <c r="B53" i="3" a="1"/>
  <c r="M11" i="4" a="1"/>
  <c r="L24" i="4" a="1"/>
  <c r="M22" i="4" a="1"/>
  <c r="J15" i="5" a="1"/>
  <c r="J16" i="5" a="1"/>
  <c r="J17" i="5" a="1"/>
  <c r="J18" i="5" a="1"/>
  <c r="J14" i="5" a="1"/>
  <c r="H7" i="5" a="1"/>
  <c r="G7" i="5" a="1"/>
  <c r="G6" i="5" a="1"/>
  <c r="M12" i="4" a="1"/>
  <c r="L12" i="4" a="1"/>
  <c r="K12" i="4" a="1"/>
  <c r="J12" i="4" a="1"/>
  <c r="J11" i="4" a="1"/>
  <c r="L23" i="4" a="1"/>
  <c r="O22" i="4" a="1"/>
  <c r="L22" i="4" a="1"/>
  <c r="O23" i="4" a="1"/>
  <c r="N22" i="4" a="1"/>
  <c r="M23" i="4" a="1"/>
  <c r="N23" i="4" a="1"/>
  <c r="M14" i="5" a="1"/>
  <c r="L14" i="5" a="1"/>
  <c r="K14" i="5" a="1"/>
  <c r="M6" i="5" a="1"/>
  <c r="L6" i="5" a="1"/>
  <c r="K6" i="5" a="1"/>
  <c r="J6" i="5" a="1"/>
  <c r="I6" i="5" a="1"/>
  <c r="H6" i="5" a="1"/>
  <c r="L24" i="4" l="1"/>
  <c r="M22" i="4"/>
  <c r="J18" i="5"/>
  <c r="J17" i="5"/>
  <c r="J16" i="5"/>
  <c r="J15" i="5"/>
  <c r="J14" i="5"/>
  <c r="H7" i="5"/>
  <c r="G7" i="5"/>
  <c r="G6" i="5"/>
  <c r="M12" i="4"/>
  <c r="L12" i="4"/>
  <c r="K12" i="4"/>
  <c r="J12" i="4"/>
  <c r="J11" i="4"/>
  <c r="M14" i="5"/>
  <c r="L14" i="5"/>
  <c r="K14" i="5"/>
  <c r="M6" i="5"/>
  <c r="L6" i="5"/>
  <c r="K6" i="5"/>
  <c r="J6" i="5"/>
  <c r="I6" i="5"/>
  <c r="H6" i="5"/>
  <c r="B54" i="3"/>
  <c r="B53" i="3"/>
  <c r="O23" i="4"/>
  <c r="O22" i="4"/>
  <c r="N23" i="4"/>
  <c r="N22" i="4"/>
  <c r="M23" i="4"/>
  <c r="L23" i="4"/>
  <c r="L22" i="4"/>
  <c r="M11" i="4"/>
  <c r="B55" i="3" a="1"/>
  <c r="L11" i="4" a="1"/>
  <c r="K11" i="4" a="1"/>
  <c r="M13" i="5" a="1"/>
  <c r="K13" i="5" a="1"/>
  <c r="K22" i="5" a="1"/>
  <c r="J22" i="5" a="1"/>
  <c r="L13" i="5" a="1"/>
  <c r="M22" i="5" a="1"/>
  <c r="L22" i="5" a="1"/>
  <c r="B55" i="3" l="1"/>
  <c r="L11" i="4"/>
  <c r="K11" i="4"/>
  <c r="M13" i="5"/>
  <c r="L13" i="5"/>
  <c r="K13" i="5"/>
  <c r="L22" i="5"/>
  <c r="M22" i="5"/>
  <c r="K22" i="5"/>
  <c r="J22" i="5"/>
  <c r="A5" i="5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B56" i="3" a="1"/>
  <c r="J13" i="5" a="1"/>
  <c r="B56" i="3" l="1"/>
  <c r="J13" i="5"/>
  <c r="B57" i="3" a="1"/>
  <c r="B57" i="3" l="1"/>
  <c r="A8" i="3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B58" i="3" a="1"/>
  <c r="B58" i="3" l="1"/>
  <c r="D53" i="3"/>
  <c r="B59" i="3" a="1"/>
  <c r="B59" i="3" l="1"/>
  <c r="D54" i="3"/>
  <c r="B60" i="3" a="1"/>
  <c r="B60" i="3" l="1"/>
  <c r="D55" i="3"/>
  <c r="B61" i="3" a="1"/>
  <c r="B61" i="3" l="1"/>
  <c r="D56" i="3"/>
  <c r="B62" i="3" a="1"/>
  <c r="B62" i="3" l="1"/>
  <c r="D57" i="3"/>
  <c r="B63" i="3" a="1"/>
  <c r="B63" i="3" l="1"/>
  <c r="D58" i="3"/>
  <c r="B64" i="3" a="1"/>
  <c r="B64" i="3" l="1"/>
  <c r="D59" i="3"/>
  <c r="B65" i="3" a="1"/>
  <c r="B65" i="3" l="1"/>
  <c r="D60" i="3"/>
  <c r="B66" i="3" a="1"/>
  <c r="B66" i="3" l="1"/>
  <c r="D61" i="3"/>
  <c r="B67" i="3" a="1"/>
  <c r="B67" i="3" l="1"/>
  <c r="D62" i="3"/>
  <c r="D63" i="3" l="1"/>
  <c r="D64" i="3" l="1"/>
  <c r="D65" i="3" l="1"/>
  <c r="D67" i="3" l="1"/>
  <c r="D3" i="3" s="1" a="1"/>
  <c r="D3" i="3" s="1"/>
  <c r="D66" i="3"/>
  <c r="E22" i="3" l="1"/>
  <c r="G22" i="3" s="1"/>
  <c r="E8" i="3"/>
  <c r="G8" i="3" s="1"/>
  <c r="E7" i="3"/>
  <c r="G7" i="3" s="1"/>
  <c r="F67" i="3"/>
  <c r="F66" i="3"/>
  <c r="F65" i="3"/>
  <c r="F64" i="3"/>
  <c r="F63" i="3"/>
  <c r="F62" i="3"/>
  <c r="F61" i="3"/>
  <c r="F60" i="3"/>
  <c r="F59" i="3"/>
  <c r="F58" i="3"/>
  <c r="F57" i="3"/>
  <c r="F56" i="3"/>
  <c r="F55" i="3"/>
  <c r="F54" i="3"/>
  <c r="F53" i="3"/>
  <c r="F52" i="3"/>
  <c r="F51" i="3"/>
  <c r="F50" i="3"/>
  <c r="F49" i="3"/>
  <c r="F48" i="3"/>
  <c r="F47" i="3"/>
  <c r="F46" i="3"/>
  <c r="F45" i="3"/>
  <c r="F44" i="3"/>
  <c r="F43" i="3"/>
  <c r="F42" i="3"/>
  <c r="F41" i="3"/>
  <c r="F40" i="3"/>
  <c r="F39" i="3"/>
  <c r="F38" i="3"/>
  <c r="F37" i="3"/>
  <c r="F36" i="3"/>
  <c r="F35" i="3"/>
  <c r="F34" i="3"/>
  <c r="F33" i="3"/>
  <c r="F32" i="3"/>
  <c r="F31" i="3"/>
  <c r="F30" i="3"/>
  <c r="F29" i="3"/>
  <c r="F28" i="3"/>
  <c r="F27" i="3"/>
  <c r="F26" i="3"/>
  <c r="F25" i="3"/>
  <c r="F24" i="3"/>
  <c r="F23" i="3"/>
  <c r="F22" i="3"/>
  <c r="F21" i="3"/>
  <c r="F20" i="3"/>
  <c r="F19" i="3"/>
  <c r="F18" i="3"/>
  <c r="F17" i="3"/>
  <c r="F16" i="3"/>
  <c r="F15" i="3"/>
  <c r="F14" i="3"/>
  <c r="F13" i="3"/>
  <c r="F12" i="3"/>
  <c r="F11" i="3"/>
  <c r="F10" i="3"/>
  <c r="F9" i="3"/>
  <c r="F8" i="3"/>
  <c r="F7" i="3"/>
  <c r="E67" i="3"/>
  <c r="G67" i="3" s="1"/>
  <c r="E66" i="3"/>
  <c r="G66" i="3" s="1"/>
  <c r="E65" i="3"/>
  <c r="G65" i="3" s="1"/>
  <c r="E64" i="3"/>
  <c r="G64" i="3" s="1"/>
  <c r="E63" i="3"/>
  <c r="G63" i="3" s="1"/>
  <c r="E62" i="3"/>
  <c r="G62" i="3" s="1"/>
  <c r="E61" i="3"/>
  <c r="G61" i="3" s="1"/>
  <c r="E60" i="3"/>
  <c r="G60" i="3" s="1"/>
  <c r="E59" i="3"/>
  <c r="G59" i="3" s="1"/>
  <c r="E58" i="3"/>
  <c r="G58" i="3" s="1"/>
  <c r="E57" i="3"/>
  <c r="G57" i="3" s="1"/>
  <c r="E56" i="3"/>
  <c r="G56" i="3" s="1"/>
  <c r="E55" i="3"/>
  <c r="G55" i="3" s="1"/>
  <c r="E54" i="3"/>
  <c r="G54" i="3" s="1"/>
  <c r="E53" i="3"/>
  <c r="G53" i="3" s="1"/>
  <c r="E52" i="3"/>
  <c r="G52" i="3" s="1"/>
  <c r="E51" i="3"/>
  <c r="G51" i="3" s="1"/>
  <c r="E50" i="3"/>
  <c r="G50" i="3" s="1"/>
  <c r="E49" i="3"/>
  <c r="G49" i="3" s="1"/>
  <c r="E48" i="3"/>
  <c r="G48" i="3" s="1"/>
  <c r="E47" i="3"/>
  <c r="G47" i="3" s="1"/>
  <c r="E46" i="3"/>
  <c r="G46" i="3" s="1"/>
  <c r="E45" i="3"/>
  <c r="G45" i="3" s="1"/>
  <c r="E44" i="3"/>
  <c r="G44" i="3" s="1"/>
  <c r="E43" i="3"/>
  <c r="G43" i="3" s="1"/>
  <c r="E42" i="3"/>
  <c r="G42" i="3" s="1"/>
  <c r="E41" i="3"/>
  <c r="G41" i="3" s="1"/>
  <c r="E40" i="3"/>
  <c r="G40" i="3" s="1"/>
  <c r="E39" i="3"/>
  <c r="G39" i="3" s="1"/>
  <c r="E38" i="3"/>
  <c r="G38" i="3" s="1"/>
  <c r="E37" i="3"/>
  <c r="G37" i="3" s="1"/>
  <c r="E36" i="3"/>
  <c r="G36" i="3" s="1"/>
  <c r="E35" i="3"/>
  <c r="G35" i="3" s="1"/>
  <c r="E34" i="3"/>
  <c r="G34" i="3" s="1"/>
  <c r="E33" i="3"/>
  <c r="G33" i="3" s="1"/>
  <c r="E32" i="3"/>
  <c r="G32" i="3" s="1"/>
  <c r="E31" i="3"/>
  <c r="G31" i="3" s="1"/>
  <c r="E30" i="3"/>
  <c r="G30" i="3" s="1"/>
  <c r="E29" i="3"/>
  <c r="G29" i="3" s="1"/>
  <c r="E28" i="3"/>
  <c r="G28" i="3" s="1"/>
  <c r="E27" i="3"/>
  <c r="G27" i="3" s="1"/>
  <c r="E26" i="3"/>
  <c r="G26" i="3" s="1"/>
  <c r="E25" i="3"/>
  <c r="G25" i="3" s="1"/>
  <c r="E24" i="3"/>
  <c r="G24" i="3" s="1"/>
  <c r="E23" i="3"/>
  <c r="G23" i="3" s="1"/>
  <c r="E21" i="3"/>
  <c r="G21" i="3" s="1"/>
  <c r="E20" i="3"/>
  <c r="G20" i="3" s="1"/>
  <c r="E19" i="3"/>
  <c r="G19" i="3" s="1"/>
  <c r="E18" i="3"/>
  <c r="G18" i="3" s="1"/>
  <c r="E17" i="3"/>
  <c r="G17" i="3" s="1"/>
  <c r="E16" i="3"/>
  <c r="G16" i="3" s="1"/>
  <c r="E15" i="3"/>
  <c r="G15" i="3" s="1"/>
  <c r="E14" i="3"/>
  <c r="G14" i="3" s="1"/>
  <c r="E13" i="3"/>
  <c r="G13" i="3" s="1"/>
  <c r="E12" i="3"/>
  <c r="G12" i="3" s="1"/>
  <c r="E11" i="3"/>
  <c r="G11" i="3" s="1"/>
  <c r="E10" i="3"/>
  <c r="G10" i="3" s="1"/>
  <c r="E9" i="3"/>
  <c r="G9" i="3" s="1"/>
  <c r="H10" i="3" l="1"/>
  <c r="H18" i="3"/>
  <c r="H26" i="3"/>
  <c r="H12" i="3"/>
  <c r="H20" i="3"/>
  <c r="H28" i="3"/>
  <c r="H36" i="3"/>
  <c r="H44" i="3"/>
  <c r="H52" i="3"/>
  <c r="H60" i="3"/>
  <c r="H13" i="3"/>
  <c r="H21" i="3"/>
  <c r="H29" i="3"/>
  <c r="H37" i="3"/>
  <c r="H45" i="3"/>
  <c r="H53" i="3"/>
  <c r="H61" i="3"/>
  <c r="H14" i="3"/>
  <c r="H22" i="3"/>
  <c r="H30" i="3"/>
  <c r="H38" i="3"/>
  <c r="H46" i="3"/>
  <c r="H54" i="3"/>
  <c r="H62" i="3"/>
  <c r="H7" i="3"/>
  <c r="H15" i="3"/>
  <c r="H23" i="3"/>
  <c r="H31" i="3"/>
  <c r="H39" i="3"/>
  <c r="H47" i="3"/>
  <c r="H55" i="3"/>
  <c r="H63" i="3"/>
  <c r="H8" i="3"/>
  <c r="H16" i="3"/>
  <c r="H24" i="3"/>
  <c r="H32" i="3"/>
  <c r="H40" i="3"/>
  <c r="H48" i="3"/>
  <c r="H56" i="3"/>
  <c r="H64" i="3"/>
  <c r="H9" i="3"/>
  <c r="H17" i="3"/>
  <c r="H25" i="3"/>
  <c r="H33" i="3"/>
  <c r="H41" i="3"/>
  <c r="H49" i="3"/>
  <c r="H57" i="3"/>
  <c r="H65" i="3"/>
  <c r="H34" i="3"/>
  <c r="H42" i="3"/>
  <c r="H50" i="3"/>
  <c r="H58" i="3"/>
  <c r="H66" i="3"/>
  <c r="H11" i="3"/>
  <c r="H19" i="3"/>
  <c r="H27" i="3"/>
  <c r="H35" i="3"/>
  <c r="H43" i="3"/>
  <c r="H51" i="3"/>
  <c r="H59" i="3"/>
  <c r="H67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<sst xmlns="http://schemas.openxmlformats.org/spreadsheetml/2006/main" count="101" uniqueCount="61">
  <si>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</si>
  <si>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</si>
  <si>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</si>
  <si>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</si>
  <si>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</si>
  <si>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</si>
  <si>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</si>
  <si>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</si>
  <si>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</si>
  <si>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</si>
  <si>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</si>
  <si>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</si>
  <si>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</si>
  <si>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</si>
  <si>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</si>
  <si>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p</t>
  </si>
  <si>
    <t>d</t>
  </si>
  <si>
    <t>q</t>
  </si>
  <si>
    <t>P</t>
  </si>
  <si>
    <t>D</t>
  </si>
  <si>
    <t>Forecast</t>
  </si>
  <si>
    <t>Min</t>
  </si>
  <si>
    <t>Max</t>
  </si>
  <si>
    <t>Fans</t>
  </si>
  <si>
    <t>Q</t>
  </si>
  <si>
    <t>Date</t>
  </si>
  <si>
    <t>ALL</t>
  </si>
  <si>
    <t>Actual</t>
  </si>
  <si>
    <t>Base</t>
  </si>
  <si>
    <t>Fan Size</t>
  </si>
  <si>
    <t>mape</t>
  </si>
  <si>
    <t>rmse</t>
  </si>
  <si>
    <t>r2</t>
  </si>
  <si>
    <t>AutoArima</t>
  </si>
  <si>
    <t>ManArima</t>
  </si>
  <si>
    <t>prediksi</t>
  </si>
  <si>
    <t>xg_boost(X_all, Y_all, X_predx, Pilihanxg):</t>
  </si>
  <si>
    <t>pred</t>
  </si>
  <si>
    <t>n_es</t>
  </si>
  <si>
    <t>Max_d</t>
  </si>
  <si>
    <t>g_mtm</t>
  </si>
  <si>
    <t>Prediksi</t>
  </si>
  <si>
    <t>ManArima( p ; d ; q ; Range Data ; Output)</t>
  </si>
  <si>
    <t>g_yoy</t>
  </si>
  <si>
    <t>Data</t>
  </si>
  <si>
    <t>Tanggal</t>
  </si>
  <si>
    <t>Minyak</t>
  </si>
  <si>
    <t>CPO</t>
  </si>
  <si>
    <t>Batubara</t>
  </si>
  <si>
    <t>XGBOOST</t>
  </si>
  <si>
    <t>xg_boost(Range Data1; Range Data2; Data Range3; Output)</t>
  </si>
  <si>
    <t>xg_boost_tuning(Range Data1 ; Range Data2 ; Data Range3 ; n_est, max_d ;  Output)</t>
  </si>
  <si>
    <t>RMSE</t>
  </si>
  <si>
    <t>MAPE</t>
  </si>
  <si>
    <t>R2</t>
  </si>
  <si>
    <t>n_est</t>
  </si>
  <si>
    <t>max_d</t>
  </si>
  <si>
    <t xml:space="preserve"> AutoArima(Range Data ; Output)</t>
  </si>
  <si>
    <t>Jumlah Variabel</t>
  </si>
  <si>
    <t>Jumlah Variable</t>
  </si>
  <si>
    <t>XGBOOST TUNNING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</si>
</sst>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2" formatCode="_-&quot;Rp&quot;* #,##0_-;\-&quot;Rp&quot;* #,##0_-;_-&quot;Rp&quot;* &quot;-&quot;_-;_-@_-"/>
    <numFmt numFmtId="164" formatCode="_(* #,##0.00_);_(* \(#,##0.00\);_(* &quot;-&quot;??_);_(@_)"/>
    <numFmt numFmtId="165" formatCode="dd\-mmm\-yyyy"/>
    <numFmt numFmtId="166" formatCode="0.00%;\-0.00%;0.00%"/>
    <numFmt numFmtId="167" formatCode="0.0000000"/>
    <numFmt numFmtId="168" formatCode="0.000%"/>
    <numFmt numFmtId="169" formatCode="0.000"/>
    <numFmt numFmtId="170" formatCode="0.0000"/>
    <numFmt numFmtId="171" formatCode="0.0%"/>
    <numFmt numFmtId="172" formatCode="0.00000000000%"/>
  </numFmts>
  <fonts count="8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-0.499984740745262"/>
        <bgColor indexed="64"/>
      </patternFill>
    </fill>
  </fills>
  <borders count="9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42" fontId="4" fillId="0" borderId="0" applyFont="0" applyFill="0" applyBorder="0" applyAlignment="0" applyProtection="0"/>
    <xf numFmtId="0" fontId="2" fillId="0" borderId="0"/>
    <xf numFmtId="164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57">
    <xf numFmtId="0" fontId="0" fillId="0" borderId="0" xfId="0"/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4" fontId="0" fillId="0" borderId="0" xfId="0" applyNumberFormat="1"/>
    <xf numFmtId="42" fontId="0" fillId="0" borderId="0" xfId="0" applyNumberFormat="1"/>
    <xf numFmtId="42" fontId="0" fillId="0" borderId="0" xfId="1" applyFont="1"/>
    <xf numFmtId="0" fontId="2" fillId="0" borderId="0" xfId="2"/>
    <xf numFmtId="0" fontId="5" fillId="0" borderId="0" xfId="2" applyFont="1" applyAlignment="1">
      <alignment horizontal="center"/>
    </xf>
    <xf numFmtId="0" fontId="5" fillId="0" borderId="0" xfId="2" applyFont="1"/>
    <xf numFmtId="164" fontId="2" fillId="0" borderId="1" xfId="3" applyFont="1" applyBorder="1"/>
    <xf numFmtId="164" fontId="2" fillId="2" borderId="1" xfId="3" applyFont="1" applyFill="1" applyBorder="1"/>
    <xf numFmtId="1" fontId="2" fillId="2" borderId="1" xfId="2" applyNumberFormat="1" applyFill="1" applyBorder="1"/>
    <xf numFmtId="165" fontId="2" fillId="0" borderId="0" xfId="2" applyNumberFormat="1"/>
    <xf numFmtId="2" fontId="2" fillId="0" borderId="0" xfId="2" applyNumberFormat="1"/>
    <xf numFmtId="166" fontId="0" fillId="0" borderId="0" xfId="0" applyNumberFormat="1"/>
    <xf numFmtId="1" fontId="6" fillId="0" borderId="0" xfId="1" applyNumberFormat="1" applyFont="1"/>
    <xf numFmtId="1" fontId="0" fillId="0" borderId="0" xfId="0" applyNumberFormat="1"/>
    <xf numFmtId="167" fontId="0" fillId="0" borderId="0" xfId="1" applyNumberFormat="1" applyFont="1"/>
    <xf numFmtId="9" fontId="0" fillId="0" borderId="0" xfId="4" applyFont="1"/>
    <xf numFmtId="0" fontId="3" fillId="0" borderId="0" xfId="0" applyFont="1"/>
    <xf numFmtId="42" fontId="3" fillId="0" borderId="0" xfId="1" applyFont="1"/>
    <xf numFmtId="1" fontId="0" fillId="0" borderId="0" xfId="1" applyNumberFormat="1" applyFont="1"/>
    <xf numFmtId="166" fontId="0" fillId="3" borderId="3" xfId="0" applyNumberFormat="1" applyFill="1" applyBorder="1"/>
    <xf numFmtId="166" fontId="0" fillId="0" borderId="3" xfId="0" applyNumberFormat="1" applyBorder="1"/>
    <xf numFmtId="165" fontId="1" fillId="3" borderId="2" xfId="2" applyNumberFormat="1" applyFont="1" applyFill="1" applyBorder="1"/>
    <xf numFmtId="165" fontId="1" fillId="0" borderId="2" xfId="2" applyNumberFormat="1" applyFont="1" applyBorder="1"/>
    <xf numFmtId="0" fontId="7" fillId="4" borderId="4" xfId="0" applyFont="1" applyFill="1" applyBorder="1" applyAlignment="1">
      <alignment horizontal="center"/>
    </xf>
    <xf numFmtId="0" fontId="0" fillId="0" borderId="4" xfId="0" applyBorder="1"/>
    <xf numFmtId="10" fontId="0" fillId="0" borderId="4" xfId="4" applyNumberFormat="1" applyFont="1" applyBorder="1"/>
    <xf numFmtId="168" fontId="0" fillId="0" borderId="4" xfId="4" applyNumberFormat="1" applyFont="1" applyBorder="1"/>
    <xf numFmtId="0" fontId="0" fillId="0" borderId="7" xfId="0" applyBorder="1"/>
    <xf numFmtId="9" fontId="0" fillId="0" borderId="4" xfId="4" applyFont="1" applyBorder="1"/>
    <xf numFmtId="0" fontId="7" fillId="4" borderId="0" xfId="0" applyFont="1" applyFill="1"/>
    <xf numFmtId="169" fontId="0" fillId="0" borderId="4" xfId="4" applyNumberFormat="1" applyFont="1" applyBorder="1"/>
    <xf numFmtId="170" fontId="0" fillId="0" borderId="4" xfId="4" applyNumberFormat="1" applyFont="1" applyBorder="1"/>
    <xf numFmtId="171" fontId="0" fillId="0" borderId="4" xfId="4" applyNumberFormat="1" applyFont="1" applyBorder="1"/>
    <xf numFmtId="172" fontId="0" fillId="0" borderId="4" xfId="4" applyNumberFormat="1" applyFont="1" applyBorder="1"/>
    <xf numFmtId="14" fontId="0" fillId="0" borderId="2" xfId="0" applyNumberFormat="1" applyBorder="1"/>
    <xf numFmtId="0" fontId="0" fillId="0" borderId="3" xfId="0" applyBorder="1"/>
    <xf numFmtId="4" fontId="0" fillId="0" borderId="3" xfId="0" applyNumberFormat="1" applyBorder="1"/>
    <xf numFmtId="14" fontId="0" fillId="3" borderId="2" xfId="0" applyNumberFormat="1" applyFill="1" applyBorder="1"/>
    <xf numFmtId="0" fontId="0" fillId="3" borderId="3" xfId="0" applyFill="1" applyBorder="1"/>
    <xf numFmtId="4" fontId="0" fillId="3" borderId="3" xfId="0" applyNumberFormat="1" applyFill="1" applyBorder="1"/>
    <xf numFmtId="166" fontId="0" fillId="5" borderId="6" xfId="0" applyNumberFormat="1" applyFill="1" applyBorder="1"/>
    <xf numFmtId="166" fontId="0" fillId="3" borderId="6" xfId="0" applyNumberFormat="1" applyFill="1" applyBorder="1"/>
    <xf numFmtId="0" fontId="0" fillId="3" borderId="0" xfId="0" applyFill="1"/>
    <xf numFmtId="0" fontId="0" fillId="0" borderId="5" xfId="0" applyBorder="1" applyAlignment="1">
      <alignment horizontal="center"/>
    </xf>
    <xf numFmtId="0" fontId="3" fillId="0" borderId="0" xfId="0" applyFont="1" applyAlignment="1">
      <alignment horizontal="center" vertical="center"/>
    </xf>
    <xf numFmtId="0" fontId="3" fillId="0" borderId="5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left" wrapText="1"/>
    </xf>
    <xf numFmtId="0" fontId="3" fillId="0" borderId="5" xfId="0" applyFont="1" applyBorder="1" applyAlignment="1"/>
    <xf numFmtId="0" fontId="0" fillId="0" borderId="5" xfId="0" applyFont="1" applyBorder="1" applyAlignment="1">
      <alignment horizontal="center"/>
    </xf>
    <xf numFmtId="0" fontId="7" fillId="6" borderId="0" xfId="0" applyFont="1" applyFill="1"/>
    <xf numFmtId="0" fontId="0" fillId="0" borderId="8" xfId="0" applyBorder="1"/>
    <xf numFmtId="0" fontId="0" fillId="0" borderId="4" xfId="0" applyFill="1" applyBorder="1"/>
    <xf numFmtId="0" fontId="3" fillId="0" borderId="0" xfId="0" applyFont="1" applyAlignment="1">
      <alignment horizontal="center"/>
    </xf>
  </cellXfs>
  <cellStyles count="5">
    <cellStyle name="Comma 2" xfId="3" xr:uid="{E8F9F3E1-8C12-4724-9377-2B708C519F4A}"/>
    <cellStyle name="Currency [0]" xfId="1" builtinId="7"/>
    <cellStyle name="Normal" xfId="0" builtinId="0"/>
    <cellStyle name="Normal 2" xfId="2" xr:uid="{9698530B-6C5F-41B8-B212-8F0724E08D6C}"/>
    <cellStyle name="Percent" xfId="4" builtinId="5"/>
  </cellStyles>
  <dxfs count="13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dd\-mmm\-yyyy"/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2" formatCode="0.00"/>
    </dxf>
    <dxf>
      <numFmt numFmtId="166" formatCode="0.00%;\-0.00%;0.00%"/>
    </dxf>
    <dxf>
      <numFmt numFmtId="165" formatCode="dd\-mmm\-yyyy"/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'Fan Chart'!$G$6</c:f>
              <c:strCache>
                <c:ptCount val="1"/>
                <c:pt idx="0">
                  <c:v>Base</c:v>
                </c:pt>
              </c:strCache>
            </c:strRef>
          </c:tx>
          <c:spPr>
            <a:noFill/>
            <a:ln>
              <a:noFill/>
            </a:ln>
            <a:effectLst/>
          </c:spPr>
          <c:cat>
            <c:numRef>
              <c:f>'Fan Chart'!$A$7:$A$67</c:f>
              <c:numCache>
                <c:formatCode>dd\-mmm\-yyyy</c:formatCode>
                <c:ptCount val="61"/>
                <c:pt idx="0">
                  <c:v>43435</c:v>
                </c:pt>
                <c:pt idx="1">
                  <c:v>43466</c:v>
                </c:pt>
                <c:pt idx="2">
                  <c:v>43497</c:v>
                </c:pt>
                <c:pt idx="3">
                  <c:v>43525</c:v>
                </c:pt>
                <c:pt idx="4">
                  <c:v>43556</c:v>
                </c:pt>
                <c:pt idx="5">
                  <c:v>43586</c:v>
                </c:pt>
                <c:pt idx="6">
                  <c:v>43617</c:v>
                </c:pt>
                <c:pt idx="7">
                  <c:v>43647</c:v>
                </c:pt>
                <c:pt idx="8">
                  <c:v>43678</c:v>
                </c:pt>
                <c:pt idx="9">
                  <c:v>43709</c:v>
                </c:pt>
                <c:pt idx="10">
                  <c:v>43739</c:v>
                </c:pt>
                <c:pt idx="11">
                  <c:v>43770</c:v>
                </c:pt>
                <c:pt idx="12">
                  <c:v>43800</c:v>
                </c:pt>
                <c:pt idx="13">
                  <c:v>43831</c:v>
                </c:pt>
                <c:pt idx="14">
                  <c:v>43862</c:v>
                </c:pt>
                <c:pt idx="15">
                  <c:v>43891</c:v>
                </c:pt>
                <c:pt idx="16">
                  <c:v>43922</c:v>
                </c:pt>
                <c:pt idx="17">
                  <c:v>43952</c:v>
                </c:pt>
                <c:pt idx="18">
                  <c:v>43983</c:v>
                </c:pt>
                <c:pt idx="19">
                  <c:v>44013</c:v>
                </c:pt>
                <c:pt idx="20">
                  <c:v>44044</c:v>
                </c:pt>
                <c:pt idx="21">
                  <c:v>44075</c:v>
                </c:pt>
                <c:pt idx="22">
                  <c:v>44105</c:v>
                </c:pt>
                <c:pt idx="23">
                  <c:v>44136</c:v>
                </c:pt>
                <c:pt idx="24">
                  <c:v>44166</c:v>
                </c:pt>
                <c:pt idx="25">
                  <c:v>44197</c:v>
                </c:pt>
                <c:pt idx="26">
                  <c:v>44228</c:v>
                </c:pt>
                <c:pt idx="27">
                  <c:v>44256</c:v>
                </c:pt>
                <c:pt idx="28">
                  <c:v>44287</c:v>
                </c:pt>
                <c:pt idx="29">
                  <c:v>44317</c:v>
                </c:pt>
                <c:pt idx="30">
                  <c:v>44348</c:v>
                </c:pt>
                <c:pt idx="31">
                  <c:v>44378</c:v>
                </c:pt>
                <c:pt idx="32">
                  <c:v>44409</c:v>
                </c:pt>
                <c:pt idx="33">
                  <c:v>44440</c:v>
                </c:pt>
                <c:pt idx="34">
                  <c:v>44470</c:v>
                </c:pt>
                <c:pt idx="35">
                  <c:v>44501</c:v>
                </c:pt>
                <c:pt idx="36">
                  <c:v>44531</c:v>
                </c:pt>
                <c:pt idx="37">
                  <c:v>44562</c:v>
                </c:pt>
                <c:pt idx="38">
                  <c:v>44593</c:v>
                </c:pt>
                <c:pt idx="39">
                  <c:v>44621</c:v>
                </c:pt>
                <c:pt idx="40">
                  <c:v>44652</c:v>
                </c:pt>
                <c:pt idx="41">
                  <c:v>44682</c:v>
                </c:pt>
                <c:pt idx="42">
                  <c:v>44713</c:v>
                </c:pt>
                <c:pt idx="43">
                  <c:v>44743</c:v>
                </c:pt>
                <c:pt idx="44">
                  <c:v>44774</c:v>
                </c:pt>
                <c:pt idx="45">
                  <c:v>44805</c:v>
                </c:pt>
                <c:pt idx="46">
                  <c:v>44835</c:v>
                </c:pt>
                <c:pt idx="47">
                  <c:v>44866</c:v>
                </c:pt>
                <c:pt idx="48">
                  <c:v>44896</c:v>
                </c:pt>
                <c:pt idx="49">
                  <c:v>44927</c:v>
                </c:pt>
                <c:pt idx="50">
                  <c:v>44958</c:v>
                </c:pt>
                <c:pt idx="51">
                  <c:v>44986</c:v>
                </c:pt>
                <c:pt idx="52">
                  <c:v>45017</c:v>
                </c:pt>
                <c:pt idx="53">
                  <c:v>45047</c:v>
                </c:pt>
                <c:pt idx="54">
                  <c:v>45078</c:v>
                </c:pt>
                <c:pt idx="55">
                  <c:v>45108</c:v>
                </c:pt>
                <c:pt idx="56">
                  <c:v>45139</c:v>
                </c:pt>
                <c:pt idx="57">
                  <c:v>45170</c:v>
                </c:pt>
                <c:pt idx="58">
                  <c:v>45200</c:v>
                </c:pt>
                <c:pt idx="59">
                  <c:v>45231</c:v>
                </c:pt>
                <c:pt idx="60">
                  <c:v>45261</c:v>
                </c:pt>
              </c:numCache>
            </c:numRef>
          </c:cat>
          <c:val>
            <c:numRef>
              <c:f>'Fan Chart'!$G$7:$G$67</c:f>
              <c:numCache>
                <c:formatCode>#,##0.00</c:formatCode>
                <c:ptCount val="61"/>
                <c:pt idx="0">
                  <c:v>1.9906474117017403E-2</c:v>
                </c:pt>
                <c:pt idx="1">
                  <c:v>-1.2347184938439337E-3</c:v>
                </c:pt>
                <c:pt idx="2">
                  <c:v>1.7287825383178745E-3</c:v>
                </c:pt>
                <c:pt idx="3">
                  <c:v>1.0043566472784038E-2</c:v>
                </c:pt>
                <c:pt idx="4">
                  <c:v>5.8785328191972575E-3</c:v>
                </c:pt>
                <c:pt idx="5">
                  <c:v>2.5358189942550347E-3</c:v>
                </c:pt>
                <c:pt idx="6">
                  <c:v>-3.3346768523168091E-4</c:v>
                </c:pt>
                <c:pt idx="7">
                  <c:v>-1.7372418084593555E-4</c:v>
                </c:pt>
                <c:pt idx="8">
                  <c:v>-1.7629475595896116E-3</c:v>
                </c:pt>
                <c:pt idx="9">
                  <c:v>2.2907127469831146E-3</c:v>
                </c:pt>
                <c:pt idx="10">
                  <c:v>4.1216561980494948E-3</c:v>
                </c:pt>
                <c:pt idx="11">
                  <c:v>4.2231082981729617E-3</c:v>
                </c:pt>
                <c:pt idx="12">
                  <c:v>3.0158934252297875E-3</c:v>
                </c:pt>
                <c:pt idx="13">
                  <c:v>7.6051340789629052E-4</c:v>
                </c:pt>
                <c:pt idx="14">
                  <c:v>-2.7605925356435357E-3</c:v>
                </c:pt>
                <c:pt idx="15">
                  <c:v>-2.9075500659316855E-3</c:v>
                </c:pt>
                <c:pt idx="16">
                  <c:v>1.2676476768234135E-3</c:v>
                </c:pt>
                <c:pt idx="17">
                  <c:v>3.672741038057703E-3</c:v>
                </c:pt>
                <c:pt idx="18">
                  <c:v>-2.7079952089601456E-3</c:v>
                </c:pt>
                <c:pt idx="19">
                  <c:v>2.4763145405624076E-3</c:v>
                </c:pt>
                <c:pt idx="20">
                  <c:v>-3.0464356897812461E-3</c:v>
                </c:pt>
                <c:pt idx="21">
                  <c:v>2.1942152215461697E-3</c:v>
                </c:pt>
                <c:pt idx="22">
                  <c:v>6.9059060167511177E-3</c:v>
                </c:pt>
                <c:pt idx="23">
                  <c:v>7.8507238762965947E-3</c:v>
                </c:pt>
                <c:pt idx="24">
                  <c:v>-1.7373280968800975E-3</c:v>
                </c:pt>
                <c:pt idx="25">
                  <c:v>5.2586721566194594E-3</c:v>
                </c:pt>
                <c:pt idx="26">
                  <c:v>8.8475779951302513E-4</c:v>
                </c:pt>
                <c:pt idx="27">
                  <c:v>-1.7500489349920878E-3</c:v>
                </c:pt>
                <c:pt idx="28">
                  <c:v>8.8941146354393208E-3</c:v>
                </c:pt>
                <c:pt idx="29">
                  <c:v>-3.4685393219540117E-3</c:v>
                </c:pt>
                <c:pt idx="30">
                  <c:v>1.7300231693495594E-3</c:v>
                </c:pt>
                <c:pt idx="31">
                  <c:v>-8.8231083440504232E-4</c:v>
                </c:pt>
                <c:pt idx="32">
                  <c:v>-5.1282423222831497E-4</c:v>
                </c:pt>
                <c:pt idx="33">
                  <c:v>3.4593585116797776E-3</c:v>
                </c:pt>
                <c:pt idx="34">
                  <c:v>5.7939139606273393E-3</c:v>
                </c:pt>
                <c:pt idx="35">
                  <c:v>7.5879019388076507E-3</c:v>
                </c:pt>
                <c:pt idx="36">
                  <c:v>9.8218481931344748E-3</c:v>
                </c:pt>
                <c:pt idx="37">
                  <c:v>-3.915208672400361E-3</c:v>
                </c:pt>
                <c:pt idx="38">
                  <c:v>9.2856399612202267E-3</c:v>
                </c:pt>
                <c:pt idx="39">
                  <c:v>1.1479474848938409E-2</c:v>
                </c:pt>
                <c:pt idx="40">
                  <c:v>6.4896185287550701E-3</c:v>
                </c:pt>
                <c:pt idx="41">
                  <c:v>7.7508397119807615E-3</c:v>
                </c:pt>
                <c:pt idx="42">
                  <c:v>3.5790332995919716E-3</c:v>
                </c:pt>
                <c:pt idx="43">
                  <c:v>-4.1589680266170825E-3</c:v>
                </c:pt>
                <c:pt idx="44">
                  <c:v>1.4150766082445365E-2</c:v>
                </c:pt>
                <c:pt idx="45">
                  <c:v>2.5050927237362242E-3</c:v>
                </c:pt>
                <c:pt idx="46">
                  <c:v>4.2763139407517243E-3</c:v>
                </c:pt>
                <c:pt idx="47">
                  <c:v>-5.8705443239362859E-3</c:v>
                </c:pt>
                <c:pt idx="48">
                  <c:v>-8.0114369591570197E-3</c:v>
                </c:pt>
                <c:pt idx="49">
                  <c:v>-1.4798342895660803E-2</c:v>
                </c:pt>
                <c:pt idx="50">
                  <c:v>-1.8195700925146469E-2</c:v>
                </c:pt>
                <c:pt idx="51">
                  <c:v>-2.330696362727868E-2</c:v>
                </c:pt>
                <c:pt idx="52">
                  <c:v>-2.6890700881486554E-2</c:v>
                </c:pt>
                <c:pt idx="53">
                  <c:v>-3.1005830212519559E-2</c:v>
                </c:pt>
                <c:pt idx="54">
                  <c:v>-3.4344746711230827E-2</c:v>
                </c:pt>
                <c:pt idx="55">
                  <c:v>-3.7737933775493469E-2</c:v>
                </c:pt>
                <c:pt idx="56">
                  <c:v>-4.0658242781103866E-2</c:v>
                </c:pt>
                <c:pt idx="57">
                  <c:v>-4.344018963638871E-2</c:v>
                </c:pt>
                <c:pt idx="58">
                  <c:v>-4.5871523158226526E-2</c:v>
                </c:pt>
                <c:pt idx="59">
                  <c:v>-4.8087322827515905E-2</c:v>
                </c:pt>
                <c:pt idx="60">
                  <c:v>-0.05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69-4F1E-B31A-A7B057263C64}"/>
            </c:ext>
          </c:extLst>
        </c:ser>
        <c:ser>
          <c:idx val="1"/>
          <c:order val="1"/>
          <c:tx>
            <c:strRef>
              <c:f>'Fan Chart'!$H$6</c:f>
              <c:strCache>
                <c:ptCount val="1"/>
                <c:pt idx="0">
                  <c:v>Fan Size</c:v>
                </c:pt>
              </c:strCache>
            </c:strRef>
          </c:tx>
          <c:spPr>
            <a:solidFill>
              <a:srgbClr val="16522E">
                <a:alpha val="20000"/>
              </a:srgbClr>
            </a:solidFill>
            <a:ln>
              <a:noFill/>
            </a:ln>
            <a:effectLst/>
          </c:spPr>
          <c:cat>
            <c:numRef>
              <c:f>'Fan Chart'!$A$7:$A$67</c:f>
              <c:numCache>
                <c:formatCode>dd\-mmm\-yyyy</c:formatCode>
                <c:ptCount val="61"/>
                <c:pt idx="0">
                  <c:v>43435</c:v>
                </c:pt>
                <c:pt idx="1">
                  <c:v>43466</c:v>
                </c:pt>
                <c:pt idx="2">
                  <c:v>43497</c:v>
                </c:pt>
                <c:pt idx="3">
                  <c:v>43525</c:v>
                </c:pt>
                <c:pt idx="4">
                  <c:v>43556</c:v>
                </c:pt>
                <c:pt idx="5">
                  <c:v>43586</c:v>
                </c:pt>
                <c:pt idx="6">
                  <c:v>43617</c:v>
                </c:pt>
                <c:pt idx="7">
                  <c:v>43647</c:v>
                </c:pt>
                <c:pt idx="8">
                  <c:v>43678</c:v>
                </c:pt>
                <c:pt idx="9">
                  <c:v>43709</c:v>
                </c:pt>
                <c:pt idx="10">
                  <c:v>43739</c:v>
                </c:pt>
                <c:pt idx="11">
                  <c:v>43770</c:v>
                </c:pt>
                <c:pt idx="12">
                  <c:v>43800</c:v>
                </c:pt>
                <c:pt idx="13">
                  <c:v>43831</c:v>
                </c:pt>
                <c:pt idx="14">
                  <c:v>43862</c:v>
                </c:pt>
                <c:pt idx="15">
                  <c:v>43891</c:v>
                </c:pt>
                <c:pt idx="16">
                  <c:v>43922</c:v>
                </c:pt>
                <c:pt idx="17">
                  <c:v>43952</c:v>
                </c:pt>
                <c:pt idx="18">
                  <c:v>43983</c:v>
                </c:pt>
                <c:pt idx="19">
                  <c:v>44013</c:v>
                </c:pt>
                <c:pt idx="20">
                  <c:v>44044</c:v>
                </c:pt>
                <c:pt idx="21">
                  <c:v>44075</c:v>
                </c:pt>
                <c:pt idx="22">
                  <c:v>44105</c:v>
                </c:pt>
                <c:pt idx="23">
                  <c:v>44136</c:v>
                </c:pt>
                <c:pt idx="24">
                  <c:v>44166</c:v>
                </c:pt>
                <c:pt idx="25">
                  <c:v>44197</c:v>
                </c:pt>
                <c:pt idx="26">
                  <c:v>44228</c:v>
                </c:pt>
                <c:pt idx="27">
                  <c:v>44256</c:v>
                </c:pt>
                <c:pt idx="28">
                  <c:v>44287</c:v>
                </c:pt>
                <c:pt idx="29">
                  <c:v>44317</c:v>
                </c:pt>
                <c:pt idx="30">
                  <c:v>44348</c:v>
                </c:pt>
                <c:pt idx="31">
                  <c:v>44378</c:v>
                </c:pt>
                <c:pt idx="32">
                  <c:v>44409</c:v>
                </c:pt>
                <c:pt idx="33">
                  <c:v>44440</c:v>
                </c:pt>
                <c:pt idx="34">
                  <c:v>44470</c:v>
                </c:pt>
                <c:pt idx="35">
                  <c:v>44501</c:v>
                </c:pt>
                <c:pt idx="36">
                  <c:v>44531</c:v>
                </c:pt>
                <c:pt idx="37">
                  <c:v>44562</c:v>
                </c:pt>
                <c:pt idx="38">
                  <c:v>44593</c:v>
                </c:pt>
                <c:pt idx="39">
                  <c:v>44621</c:v>
                </c:pt>
                <c:pt idx="40">
                  <c:v>44652</c:v>
                </c:pt>
                <c:pt idx="41">
                  <c:v>44682</c:v>
                </c:pt>
                <c:pt idx="42">
                  <c:v>44713</c:v>
                </c:pt>
                <c:pt idx="43">
                  <c:v>44743</c:v>
                </c:pt>
                <c:pt idx="44">
                  <c:v>44774</c:v>
                </c:pt>
                <c:pt idx="45">
                  <c:v>44805</c:v>
                </c:pt>
                <c:pt idx="46">
                  <c:v>44835</c:v>
                </c:pt>
                <c:pt idx="47">
                  <c:v>44866</c:v>
                </c:pt>
                <c:pt idx="48">
                  <c:v>44896</c:v>
                </c:pt>
                <c:pt idx="49">
                  <c:v>44927</c:v>
                </c:pt>
                <c:pt idx="50">
                  <c:v>44958</c:v>
                </c:pt>
                <c:pt idx="51">
                  <c:v>44986</c:v>
                </c:pt>
                <c:pt idx="52">
                  <c:v>45017</c:v>
                </c:pt>
                <c:pt idx="53">
                  <c:v>45047</c:v>
                </c:pt>
                <c:pt idx="54">
                  <c:v>45078</c:v>
                </c:pt>
                <c:pt idx="55">
                  <c:v>45108</c:v>
                </c:pt>
                <c:pt idx="56">
                  <c:v>45139</c:v>
                </c:pt>
                <c:pt idx="57">
                  <c:v>45170</c:v>
                </c:pt>
                <c:pt idx="58">
                  <c:v>45200</c:v>
                </c:pt>
                <c:pt idx="59">
                  <c:v>45231</c:v>
                </c:pt>
                <c:pt idx="60">
                  <c:v>45261</c:v>
                </c:pt>
              </c:numCache>
            </c:numRef>
          </c:cat>
          <c:val>
            <c:numRef>
              <c:f>'Fan Chart'!$H$7:$H$67</c:f>
              <c:numCache>
                <c:formatCode>#,##0.00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3.3333333333333338E-4</c:v>
                </c:pt>
                <c:pt idx="47">
                  <c:v>6.6666666666666675E-4</c:v>
                </c:pt>
                <c:pt idx="48">
                  <c:v>1E-3</c:v>
                </c:pt>
                <c:pt idx="49">
                  <c:v>1.3333333333333335E-3</c:v>
                </c:pt>
                <c:pt idx="50">
                  <c:v>1.6666666666666666E-3</c:v>
                </c:pt>
                <c:pt idx="51">
                  <c:v>2E-3</c:v>
                </c:pt>
                <c:pt idx="52">
                  <c:v>2.3333333333333335E-3</c:v>
                </c:pt>
                <c:pt idx="53">
                  <c:v>2.666666666666667E-3</c:v>
                </c:pt>
                <c:pt idx="54">
                  <c:v>3.0000000000000001E-3</c:v>
                </c:pt>
                <c:pt idx="55">
                  <c:v>3.333333333333334E-3</c:v>
                </c:pt>
                <c:pt idx="56">
                  <c:v>3.6666666666666666E-3</c:v>
                </c:pt>
                <c:pt idx="57">
                  <c:v>4.0000000000000001E-3</c:v>
                </c:pt>
                <c:pt idx="58">
                  <c:v>4.3333333333333331E-3</c:v>
                </c:pt>
                <c:pt idx="59">
                  <c:v>4.6666666666666671E-3</c:v>
                </c:pt>
                <c:pt idx="60">
                  <c:v>5.0000000000000001E-3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69-4F1E-B31A-A7B057263C64}"/>
            </c:ext>
          </c:extLst>
        </c:ser>
        <c:ser>
          <c:idx val="2"/>
          <c:order val="2"/>
          <c:tx>
            <c:strRef>
              <c:f>'Fan Chart'!$H$6</c:f>
              <c:strCache>
                <c:ptCount val="1"/>
                <c:pt idx="0">
                  <c:v>Fan Size</c:v>
                </c:pt>
              </c:strCache>
            </c:strRef>
          </c:tx>
          <c:spPr>
            <a:solidFill>
              <a:srgbClr val="16522E">
                <a:alpha val="40000"/>
              </a:srgbClr>
            </a:solidFill>
            <a:ln w="25400">
              <a:noFill/>
            </a:ln>
            <a:effectLst/>
          </c:spPr>
          <c:cat>
            <c:numRef>
              <c:f>'Fan Chart'!$A$7:$A$67</c:f>
              <c:numCache>
                <c:formatCode>dd\-mmm\-yyyy</c:formatCode>
                <c:ptCount val="61"/>
                <c:pt idx="0">
                  <c:v>43435</c:v>
                </c:pt>
                <c:pt idx="1">
                  <c:v>43466</c:v>
                </c:pt>
                <c:pt idx="2">
                  <c:v>43497</c:v>
                </c:pt>
                <c:pt idx="3">
                  <c:v>43525</c:v>
                </c:pt>
                <c:pt idx="4">
                  <c:v>43556</c:v>
                </c:pt>
                <c:pt idx="5">
                  <c:v>43586</c:v>
                </c:pt>
                <c:pt idx="6">
                  <c:v>43617</c:v>
                </c:pt>
                <c:pt idx="7">
                  <c:v>43647</c:v>
                </c:pt>
                <c:pt idx="8">
                  <c:v>43678</c:v>
                </c:pt>
                <c:pt idx="9">
                  <c:v>43709</c:v>
                </c:pt>
                <c:pt idx="10">
                  <c:v>43739</c:v>
                </c:pt>
                <c:pt idx="11">
                  <c:v>43770</c:v>
                </c:pt>
                <c:pt idx="12">
                  <c:v>43800</c:v>
                </c:pt>
                <c:pt idx="13">
                  <c:v>43831</c:v>
                </c:pt>
                <c:pt idx="14">
                  <c:v>43862</c:v>
                </c:pt>
                <c:pt idx="15">
                  <c:v>43891</c:v>
                </c:pt>
                <c:pt idx="16">
                  <c:v>43922</c:v>
                </c:pt>
                <c:pt idx="17">
                  <c:v>43952</c:v>
                </c:pt>
                <c:pt idx="18">
                  <c:v>43983</c:v>
                </c:pt>
                <c:pt idx="19">
                  <c:v>44013</c:v>
                </c:pt>
                <c:pt idx="20">
                  <c:v>44044</c:v>
                </c:pt>
                <c:pt idx="21">
                  <c:v>44075</c:v>
                </c:pt>
                <c:pt idx="22">
                  <c:v>44105</c:v>
                </c:pt>
                <c:pt idx="23">
                  <c:v>44136</c:v>
                </c:pt>
                <c:pt idx="24">
                  <c:v>44166</c:v>
                </c:pt>
                <c:pt idx="25">
                  <c:v>44197</c:v>
                </c:pt>
                <c:pt idx="26">
                  <c:v>44228</c:v>
                </c:pt>
                <c:pt idx="27">
                  <c:v>44256</c:v>
                </c:pt>
                <c:pt idx="28">
                  <c:v>44287</c:v>
                </c:pt>
                <c:pt idx="29">
                  <c:v>44317</c:v>
                </c:pt>
                <c:pt idx="30">
                  <c:v>44348</c:v>
                </c:pt>
                <c:pt idx="31">
                  <c:v>44378</c:v>
                </c:pt>
                <c:pt idx="32">
                  <c:v>44409</c:v>
                </c:pt>
                <c:pt idx="33">
                  <c:v>44440</c:v>
                </c:pt>
                <c:pt idx="34">
                  <c:v>44470</c:v>
                </c:pt>
                <c:pt idx="35">
                  <c:v>44501</c:v>
                </c:pt>
                <c:pt idx="36">
                  <c:v>44531</c:v>
                </c:pt>
                <c:pt idx="37">
                  <c:v>44562</c:v>
                </c:pt>
                <c:pt idx="38">
                  <c:v>44593</c:v>
                </c:pt>
                <c:pt idx="39">
                  <c:v>44621</c:v>
                </c:pt>
                <c:pt idx="40">
                  <c:v>44652</c:v>
                </c:pt>
                <c:pt idx="41">
                  <c:v>44682</c:v>
                </c:pt>
                <c:pt idx="42">
                  <c:v>44713</c:v>
                </c:pt>
                <c:pt idx="43">
                  <c:v>44743</c:v>
                </c:pt>
                <c:pt idx="44">
                  <c:v>44774</c:v>
                </c:pt>
                <c:pt idx="45">
                  <c:v>44805</c:v>
                </c:pt>
                <c:pt idx="46">
                  <c:v>44835</c:v>
                </c:pt>
                <c:pt idx="47">
                  <c:v>44866</c:v>
                </c:pt>
                <c:pt idx="48">
                  <c:v>44896</c:v>
                </c:pt>
                <c:pt idx="49">
                  <c:v>44927</c:v>
                </c:pt>
                <c:pt idx="50">
                  <c:v>44958</c:v>
                </c:pt>
                <c:pt idx="51">
                  <c:v>44986</c:v>
                </c:pt>
                <c:pt idx="52">
                  <c:v>45017</c:v>
                </c:pt>
                <c:pt idx="53">
                  <c:v>45047</c:v>
                </c:pt>
                <c:pt idx="54">
                  <c:v>45078</c:v>
                </c:pt>
                <c:pt idx="55">
                  <c:v>45108</c:v>
                </c:pt>
                <c:pt idx="56">
                  <c:v>45139</c:v>
                </c:pt>
                <c:pt idx="57">
                  <c:v>45170</c:v>
                </c:pt>
                <c:pt idx="58">
                  <c:v>45200</c:v>
                </c:pt>
                <c:pt idx="59">
                  <c:v>45231</c:v>
                </c:pt>
                <c:pt idx="60">
                  <c:v>45261</c:v>
                </c:pt>
              </c:numCache>
            </c:numRef>
          </c:cat>
          <c:val>
            <c:numRef>
              <c:f>'Fan Chart'!$H$7:$H$67</c:f>
              <c:numCache>
                <c:formatCode>#,##0.00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3.3333333333333338E-4</c:v>
                </c:pt>
                <c:pt idx="47">
                  <c:v>6.6666666666666675E-4</c:v>
                </c:pt>
                <c:pt idx="48">
                  <c:v>1E-3</c:v>
                </c:pt>
                <c:pt idx="49">
                  <c:v>1.3333333333333335E-3</c:v>
                </c:pt>
                <c:pt idx="50">
                  <c:v>1.6666666666666666E-3</c:v>
                </c:pt>
                <c:pt idx="51">
                  <c:v>2E-3</c:v>
                </c:pt>
                <c:pt idx="52">
                  <c:v>2.3333333333333335E-3</c:v>
                </c:pt>
                <c:pt idx="53">
                  <c:v>2.666666666666667E-3</c:v>
                </c:pt>
                <c:pt idx="54">
                  <c:v>3.0000000000000001E-3</c:v>
                </c:pt>
                <c:pt idx="55">
                  <c:v>3.333333333333334E-3</c:v>
                </c:pt>
                <c:pt idx="56">
                  <c:v>3.6666666666666666E-3</c:v>
                </c:pt>
                <c:pt idx="57">
                  <c:v>4.0000000000000001E-3</c:v>
                </c:pt>
                <c:pt idx="58">
                  <c:v>4.3333333333333331E-3</c:v>
                </c:pt>
                <c:pt idx="59">
                  <c:v>4.6666666666666671E-3</c:v>
                </c:pt>
                <c:pt idx="60">
                  <c:v>5.0000000000000001E-3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069-4F1E-B31A-A7B057263C64}"/>
            </c:ext>
          </c:extLst>
        </c:ser>
        <c:ser>
          <c:idx val="3"/>
          <c:order val="3"/>
          <c:tx>
            <c:strRef>
              <c:f>'Fan Chart'!$H$6</c:f>
              <c:strCache>
                <c:ptCount val="1"/>
                <c:pt idx="0">
                  <c:v>Fan Size</c:v>
                </c:pt>
              </c:strCache>
            </c:strRef>
          </c:tx>
          <c:spPr>
            <a:solidFill>
              <a:srgbClr val="16522E">
                <a:alpha val="60000"/>
              </a:srgbClr>
            </a:solidFill>
            <a:ln w="25400">
              <a:noFill/>
            </a:ln>
            <a:effectLst/>
          </c:spPr>
          <c:cat>
            <c:numRef>
              <c:f>'Fan Chart'!$A$7:$A$67</c:f>
              <c:numCache>
                <c:formatCode>dd\-mmm\-yyyy</c:formatCode>
                <c:ptCount val="61"/>
                <c:pt idx="0">
                  <c:v>43435</c:v>
                </c:pt>
                <c:pt idx="1">
                  <c:v>43466</c:v>
                </c:pt>
                <c:pt idx="2">
                  <c:v>43497</c:v>
                </c:pt>
                <c:pt idx="3">
                  <c:v>43525</c:v>
                </c:pt>
                <c:pt idx="4">
                  <c:v>43556</c:v>
                </c:pt>
                <c:pt idx="5">
                  <c:v>43586</c:v>
                </c:pt>
                <c:pt idx="6">
                  <c:v>43617</c:v>
                </c:pt>
                <c:pt idx="7">
                  <c:v>43647</c:v>
                </c:pt>
                <c:pt idx="8">
                  <c:v>43678</c:v>
                </c:pt>
                <c:pt idx="9">
                  <c:v>43709</c:v>
                </c:pt>
                <c:pt idx="10">
                  <c:v>43739</c:v>
                </c:pt>
                <c:pt idx="11">
                  <c:v>43770</c:v>
                </c:pt>
                <c:pt idx="12">
                  <c:v>43800</c:v>
                </c:pt>
                <c:pt idx="13">
                  <c:v>43831</c:v>
                </c:pt>
                <c:pt idx="14">
                  <c:v>43862</c:v>
                </c:pt>
                <c:pt idx="15">
                  <c:v>43891</c:v>
                </c:pt>
                <c:pt idx="16">
                  <c:v>43922</c:v>
                </c:pt>
                <c:pt idx="17">
                  <c:v>43952</c:v>
                </c:pt>
                <c:pt idx="18">
                  <c:v>43983</c:v>
                </c:pt>
                <c:pt idx="19">
                  <c:v>44013</c:v>
                </c:pt>
                <c:pt idx="20">
                  <c:v>44044</c:v>
                </c:pt>
                <c:pt idx="21">
                  <c:v>44075</c:v>
                </c:pt>
                <c:pt idx="22">
                  <c:v>44105</c:v>
                </c:pt>
                <c:pt idx="23">
                  <c:v>44136</c:v>
                </c:pt>
                <c:pt idx="24">
                  <c:v>44166</c:v>
                </c:pt>
                <c:pt idx="25">
                  <c:v>44197</c:v>
                </c:pt>
                <c:pt idx="26">
                  <c:v>44228</c:v>
                </c:pt>
                <c:pt idx="27">
                  <c:v>44256</c:v>
                </c:pt>
                <c:pt idx="28">
                  <c:v>44287</c:v>
                </c:pt>
                <c:pt idx="29">
                  <c:v>44317</c:v>
                </c:pt>
                <c:pt idx="30">
                  <c:v>44348</c:v>
                </c:pt>
                <c:pt idx="31">
                  <c:v>44378</c:v>
                </c:pt>
                <c:pt idx="32">
                  <c:v>44409</c:v>
                </c:pt>
                <c:pt idx="33">
                  <c:v>44440</c:v>
                </c:pt>
                <c:pt idx="34">
                  <c:v>44470</c:v>
                </c:pt>
                <c:pt idx="35">
                  <c:v>44501</c:v>
                </c:pt>
                <c:pt idx="36">
                  <c:v>44531</c:v>
                </c:pt>
                <c:pt idx="37">
                  <c:v>44562</c:v>
                </c:pt>
                <c:pt idx="38">
                  <c:v>44593</c:v>
                </c:pt>
                <c:pt idx="39">
                  <c:v>44621</c:v>
                </c:pt>
                <c:pt idx="40">
                  <c:v>44652</c:v>
                </c:pt>
                <c:pt idx="41">
                  <c:v>44682</c:v>
                </c:pt>
                <c:pt idx="42">
                  <c:v>44713</c:v>
                </c:pt>
                <c:pt idx="43">
                  <c:v>44743</c:v>
                </c:pt>
                <c:pt idx="44">
                  <c:v>44774</c:v>
                </c:pt>
                <c:pt idx="45">
                  <c:v>44805</c:v>
                </c:pt>
                <c:pt idx="46">
                  <c:v>44835</c:v>
                </c:pt>
                <c:pt idx="47">
                  <c:v>44866</c:v>
                </c:pt>
                <c:pt idx="48">
                  <c:v>44896</c:v>
                </c:pt>
                <c:pt idx="49">
                  <c:v>44927</c:v>
                </c:pt>
                <c:pt idx="50">
                  <c:v>44958</c:v>
                </c:pt>
                <c:pt idx="51">
                  <c:v>44986</c:v>
                </c:pt>
                <c:pt idx="52">
                  <c:v>45017</c:v>
                </c:pt>
                <c:pt idx="53">
                  <c:v>45047</c:v>
                </c:pt>
                <c:pt idx="54">
                  <c:v>45078</c:v>
                </c:pt>
                <c:pt idx="55">
                  <c:v>45108</c:v>
                </c:pt>
                <c:pt idx="56">
                  <c:v>45139</c:v>
                </c:pt>
                <c:pt idx="57">
                  <c:v>45170</c:v>
                </c:pt>
                <c:pt idx="58">
                  <c:v>45200</c:v>
                </c:pt>
                <c:pt idx="59">
                  <c:v>45231</c:v>
                </c:pt>
                <c:pt idx="60">
                  <c:v>45261</c:v>
                </c:pt>
              </c:numCache>
            </c:numRef>
          </c:cat>
          <c:val>
            <c:numRef>
              <c:f>'Fan Chart'!$H$7:$H$67</c:f>
              <c:numCache>
                <c:formatCode>#,##0.00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3.3333333333333338E-4</c:v>
                </c:pt>
                <c:pt idx="47">
                  <c:v>6.6666666666666675E-4</c:v>
                </c:pt>
                <c:pt idx="48">
                  <c:v>1E-3</c:v>
                </c:pt>
                <c:pt idx="49">
                  <c:v>1.3333333333333335E-3</c:v>
                </c:pt>
                <c:pt idx="50">
                  <c:v>1.6666666666666666E-3</c:v>
                </c:pt>
                <c:pt idx="51">
                  <c:v>2E-3</c:v>
                </c:pt>
                <c:pt idx="52">
                  <c:v>2.3333333333333335E-3</c:v>
                </c:pt>
                <c:pt idx="53">
                  <c:v>2.666666666666667E-3</c:v>
                </c:pt>
                <c:pt idx="54">
                  <c:v>3.0000000000000001E-3</c:v>
                </c:pt>
                <c:pt idx="55">
                  <c:v>3.333333333333334E-3</c:v>
                </c:pt>
                <c:pt idx="56">
                  <c:v>3.6666666666666666E-3</c:v>
                </c:pt>
                <c:pt idx="57">
                  <c:v>4.0000000000000001E-3</c:v>
                </c:pt>
                <c:pt idx="58">
                  <c:v>4.3333333333333331E-3</c:v>
                </c:pt>
                <c:pt idx="59">
                  <c:v>4.6666666666666671E-3</c:v>
                </c:pt>
                <c:pt idx="60">
                  <c:v>5.0000000000000001E-3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069-4F1E-B31A-A7B057263C64}"/>
            </c:ext>
          </c:extLst>
        </c:ser>
        <c:ser>
          <c:idx val="4"/>
          <c:order val="4"/>
          <c:tx>
            <c:strRef>
              <c:f>'Fan Chart'!$H$6</c:f>
              <c:strCache>
                <c:ptCount val="1"/>
                <c:pt idx="0">
                  <c:v>Fan Size</c:v>
                </c:pt>
              </c:strCache>
            </c:strRef>
          </c:tx>
          <c:spPr>
            <a:solidFill>
              <a:srgbClr val="16522E">
                <a:alpha val="80000"/>
              </a:srgbClr>
            </a:solidFill>
            <a:ln w="25400">
              <a:noFill/>
            </a:ln>
            <a:effectLst/>
          </c:spPr>
          <c:cat>
            <c:numRef>
              <c:f>'Fan Chart'!$A$7:$A$67</c:f>
              <c:numCache>
                <c:formatCode>dd\-mmm\-yyyy</c:formatCode>
                <c:ptCount val="61"/>
                <c:pt idx="0">
                  <c:v>43435</c:v>
                </c:pt>
                <c:pt idx="1">
                  <c:v>43466</c:v>
                </c:pt>
                <c:pt idx="2">
                  <c:v>43497</c:v>
                </c:pt>
                <c:pt idx="3">
                  <c:v>43525</c:v>
                </c:pt>
                <c:pt idx="4">
                  <c:v>43556</c:v>
                </c:pt>
                <c:pt idx="5">
                  <c:v>43586</c:v>
                </c:pt>
                <c:pt idx="6">
                  <c:v>43617</c:v>
                </c:pt>
                <c:pt idx="7">
                  <c:v>43647</c:v>
                </c:pt>
                <c:pt idx="8">
                  <c:v>43678</c:v>
                </c:pt>
                <c:pt idx="9">
                  <c:v>43709</c:v>
                </c:pt>
                <c:pt idx="10">
                  <c:v>43739</c:v>
                </c:pt>
                <c:pt idx="11">
                  <c:v>43770</c:v>
                </c:pt>
                <c:pt idx="12">
                  <c:v>43800</c:v>
                </c:pt>
                <c:pt idx="13">
                  <c:v>43831</c:v>
                </c:pt>
                <c:pt idx="14">
                  <c:v>43862</c:v>
                </c:pt>
                <c:pt idx="15">
                  <c:v>43891</c:v>
                </c:pt>
                <c:pt idx="16">
                  <c:v>43922</c:v>
                </c:pt>
                <c:pt idx="17">
                  <c:v>43952</c:v>
                </c:pt>
                <c:pt idx="18">
                  <c:v>43983</c:v>
                </c:pt>
                <c:pt idx="19">
                  <c:v>44013</c:v>
                </c:pt>
                <c:pt idx="20">
                  <c:v>44044</c:v>
                </c:pt>
                <c:pt idx="21">
                  <c:v>44075</c:v>
                </c:pt>
                <c:pt idx="22">
                  <c:v>44105</c:v>
                </c:pt>
                <c:pt idx="23">
                  <c:v>44136</c:v>
                </c:pt>
                <c:pt idx="24">
                  <c:v>44166</c:v>
                </c:pt>
                <c:pt idx="25">
                  <c:v>44197</c:v>
                </c:pt>
                <c:pt idx="26">
                  <c:v>44228</c:v>
                </c:pt>
                <c:pt idx="27">
                  <c:v>44256</c:v>
                </c:pt>
                <c:pt idx="28">
                  <c:v>44287</c:v>
                </c:pt>
                <c:pt idx="29">
                  <c:v>44317</c:v>
                </c:pt>
                <c:pt idx="30">
                  <c:v>44348</c:v>
                </c:pt>
                <c:pt idx="31">
                  <c:v>44378</c:v>
                </c:pt>
                <c:pt idx="32">
                  <c:v>44409</c:v>
                </c:pt>
                <c:pt idx="33">
                  <c:v>44440</c:v>
                </c:pt>
                <c:pt idx="34">
                  <c:v>44470</c:v>
                </c:pt>
                <c:pt idx="35">
                  <c:v>44501</c:v>
                </c:pt>
                <c:pt idx="36">
                  <c:v>44531</c:v>
                </c:pt>
                <c:pt idx="37">
                  <c:v>44562</c:v>
                </c:pt>
                <c:pt idx="38">
                  <c:v>44593</c:v>
                </c:pt>
                <c:pt idx="39">
                  <c:v>44621</c:v>
                </c:pt>
                <c:pt idx="40">
                  <c:v>44652</c:v>
                </c:pt>
                <c:pt idx="41">
                  <c:v>44682</c:v>
                </c:pt>
                <c:pt idx="42">
                  <c:v>44713</c:v>
                </c:pt>
                <c:pt idx="43">
                  <c:v>44743</c:v>
                </c:pt>
                <c:pt idx="44">
                  <c:v>44774</c:v>
                </c:pt>
                <c:pt idx="45">
                  <c:v>44805</c:v>
                </c:pt>
                <c:pt idx="46">
                  <c:v>44835</c:v>
                </c:pt>
                <c:pt idx="47">
                  <c:v>44866</c:v>
                </c:pt>
                <c:pt idx="48">
                  <c:v>44896</c:v>
                </c:pt>
                <c:pt idx="49">
                  <c:v>44927</c:v>
                </c:pt>
                <c:pt idx="50">
                  <c:v>44958</c:v>
                </c:pt>
                <c:pt idx="51">
                  <c:v>44986</c:v>
                </c:pt>
                <c:pt idx="52">
                  <c:v>45017</c:v>
                </c:pt>
                <c:pt idx="53">
                  <c:v>45047</c:v>
                </c:pt>
                <c:pt idx="54">
                  <c:v>45078</c:v>
                </c:pt>
                <c:pt idx="55">
                  <c:v>45108</c:v>
                </c:pt>
                <c:pt idx="56">
                  <c:v>45139</c:v>
                </c:pt>
                <c:pt idx="57">
                  <c:v>45170</c:v>
                </c:pt>
                <c:pt idx="58">
                  <c:v>45200</c:v>
                </c:pt>
                <c:pt idx="59">
                  <c:v>45231</c:v>
                </c:pt>
                <c:pt idx="60">
                  <c:v>45261</c:v>
                </c:pt>
              </c:numCache>
            </c:numRef>
          </c:cat>
          <c:val>
            <c:numRef>
              <c:f>'Fan Chart'!$H$7:$H$67</c:f>
              <c:numCache>
                <c:formatCode>#,##0.00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3.3333333333333338E-4</c:v>
                </c:pt>
                <c:pt idx="47">
                  <c:v>6.6666666666666675E-4</c:v>
                </c:pt>
                <c:pt idx="48">
                  <c:v>1E-3</c:v>
                </c:pt>
                <c:pt idx="49">
                  <c:v>1.3333333333333335E-3</c:v>
                </c:pt>
                <c:pt idx="50">
                  <c:v>1.6666666666666666E-3</c:v>
                </c:pt>
                <c:pt idx="51">
                  <c:v>2E-3</c:v>
                </c:pt>
                <c:pt idx="52">
                  <c:v>2.3333333333333335E-3</c:v>
                </c:pt>
                <c:pt idx="53">
                  <c:v>2.666666666666667E-3</c:v>
                </c:pt>
                <c:pt idx="54">
                  <c:v>3.0000000000000001E-3</c:v>
                </c:pt>
                <c:pt idx="55">
                  <c:v>3.333333333333334E-3</c:v>
                </c:pt>
                <c:pt idx="56">
                  <c:v>3.6666666666666666E-3</c:v>
                </c:pt>
                <c:pt idx="57">
                  <c:v>4.0000000000000001E-3</c:v>
                </c:pt>
                <c:pt idx="58">
                  <c:v>4.3333333333333331E-3</c:v>
                </c:pt>
                <c:pt idx="59">
                  <c:v>4.6666666666666671E-3</c:v>
                </c:pt>
                <c:pt idx="60">
                  <c:v>5.0000000000000001E-3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069-4F1E-B31A-A7B057263C64}"/>
            </c:ext>
          </c:extLst>
        </c:ser>
        <c:ser>
          <c:idx val="5"/>
          <c:order val="5"/>
          <c:tx>
            <c:strRef>
              <c:f>'Fan Chart'!$H$6</c:f>
              <c:strCache>
                <c:ptCount val="1"/>
                <c:pt idx="0">
                  <c:v>Fan Size</c:v>
                </c:pt>
              </c:strCache>
            </c:strRef>
          </c:tx>
          <c:spPr>
            <a:solidFill>
              <a:srgbClr val="16522E"/>
            </a:solidFill>
            <a:ln w="25400">
              <a:solidFill>
                <a:srgbClr val="16522E"/>
              </a:solidFill>
            </a:ln>
            <a:effectLst/>
          </c:spPr>
          <c:cat>
            <c:numRef>
              <c:f>'Fan Chart'!$A$7:$A$67</c:f>
              <c:numCache>
                <c:formatCode>dd\-mmm\-yyyy</c:formatCode>
                <c:ptCount val="61"/>
                <c:pt idx="0">
                  <c:v>43435</c:v>
                </c:pt>
                <c:pt idx="1">
                  <c:v>43466</c:v>
                </c:pt>
                <c:pt idx="2">
                  <c:v>43497</c:v>
                </c:pt>
                <c:pt idx="3">
                  <c:v>43525</c:v>
                </c:pt>
                <c:pt idx="4">
                  <c:v>43556</c:v>
                </c:pt>
                <c:pt idx="5">
                  <c:v>43586</c:v>
                </c:pt>
                <c:pt idx="6">
                  <c:v>43617</c:v>
                </c:pt>
                <c:pt idx="7">
                  <c:v>43647</c:v>
                </c:pt>
                <c:pt idx="8">
                  <c:v>43678</c:v>
                </c:pt>
                <c:pt idx="9">
                  <c:v>43709</c:v>
                </c:pt>
                <c:pt idx="10">
                  <c:v>43739</c:v>
                </c:pt>
                <c:pt idx="11">
                  <c:v>43770</c:v>
                </c:pt>
                <c:pt idx="12">
                  <c:v>43800</c:v>
                </c:pt>
                <c:pt idx="13">
                  <c:v>43831</c:v>
                </c:pt>
                <c:pt idx="14">
                  <c:v>43862</c:v>
                </c:pt>
                <c:pt idx="15">
                  <c:v>43891</c:v>
                </c:pt>
                <c:pt idx="16">
                  <c:v>43922</c:v>
                </c:pt>
                <c:pt idx="17">
                  <c:v>43952</c:v>
                </c:pt>
                <c:pt idx="18">
                  <c:v>43983</c:v>
                </c:pt>
                <c:pt idx="19">
                  <c:v>44013</c:v>
                </c:pt>
                <c:pt idx="20">
                  <c:v>44044</c:v>
                </c:pt>
                <c:pt idx="21">
                  <c:v>44075</c:v>
                </c:pt>
                <c:pt idx="22">
                  <c:v>44105</c:v>
                </c:pt>
                <c:pt idx="23">
                  <c:v>44136</c:v>
                </c:pt>
                <c:pt idx="24">
                  <c:v>44166</c:v>
                </c:pt>
                <c:pt idx="25">
                  <c:v>44197</c:v>
                </c:pt>
                <c:pt idx="26">
                  <c:v>44228</c:v>
                </c:pt>
                <c:pt idx="27">
                  <c:v>44256</c:v>
                </c:pt>
                <c:pt idx="28">
                  <c:v>44287</c:v>
                </c:pt>
                <c:pt idx="29">
                  <c:v>44317</c:v>
                </c:pt>
                <c:pt idx="30">
                  <c:v>44348</c:v>
                </c:pt>
                <c:pt idx="31">
                  <c:v>44378</c:v>
                </c:pt>
                <c:pt idx="32">
                  <c:v>44409</c:v>
                </c:pt>
                <c:pt idx="33">
                  <c:v>44440</c:v>
                </c:pt>
                <c:pt idx="34">
                  <c:v>44470</c:v>
                </c:pt>
                <c:pt idx="35">
                  <c:v>44501</c:v>
                </c:pt>
                <c:pt idx="36">
                  <c:v>44531</c:v>
                </c:pt>
                <c:pt idx="37">
                  <c:v>44562</c:v>
                </c:pt>
                <c:pt idx="38">
                  <c:v>44593</c:v>
                </c:pt>
                <c:pt idx="39">
                  <c:v>44621</c:v>
                </c:pt>
                <c:pt idx="40">
                  <c:v>44652</c:v>
                </c:pt>
                <c:pt idx="41">
                  <c:v>44682</c:v>
                </c:pt>
                <c:pt idx="42">
                  <c:v>44713</c:v>
                </c:pt>
                <c:pt idx="43">
                  <c:v>44743</c:v>
                </c:pt>
                <c:pt idx="44">
                  <c:v>44774</c:v>
                </c:pt>
                <c:pt idx="45">
                  <c:v>44805</c:v>
                </c:pt>
                <c:pt idx="46">
                  <c:v>44835</c:v>
                </c:pt>
                <c:pt idx="47">
                  <c:v>44866</c:v>
                </c:pt>
                <c:pt idx="48">
                  <c:v>44896</c:v>
                </c:pt>
                <c:pt idx="49">
                  <c:v>44927</c:v>
                </c:pt>
                <c:pt idx="50">
                  <c:v>44958</c:v>
                </c:pt>
                <c:pt idx="51">
                  <c:v>44986</c:v>
                </c:pt>
                <c:pt idx="52">
                  <c:v>45017</c:v>
                </c:pt>
                <c:pt idx="53">
                  <c:v>45047</c:v>
                </c:pt>
                <c:pt idx="54">
                  <c:v>45078</c:v>
                </c:pt>
                <c:pt idx="55">
                  <c:v>45108</c:v>
                </c:pt>
                <c:pt idx="56">
                  <c:v>45139</c:v>
                </c:pt>
                <c:pt idx="57">
                  <c:v>45170</c:v>
                </c:pt>
                <c:pt idx="58">
                  <c:v>45200</c:v>
                </c:pt>
                <c:pt idx="59">
                  <c:v>45231</c:v>
                </c:pt>
                <c:pt idx="60">
                  <c:v>45261</c:v>
                </c:pt>
              </c:numCache>
            </c:numRef>
          </c:cat>
          <c:val>
            <c:numRef>
              <c:f>'Fan Chart'!$H$7:$H$67</c:f>
              <c:numCache>
                <c:formatCode>#,##0.00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3.3333333333333338E-4</c:v>
                </c:pt>
                <c:pt idx="47">
                  <c:v>6.6666666666666675E-4</c:v>
                </c:pt>
                <c:pt idx="48">
                  <c:v>1E-3</c:v>
                </c:pt>
                <c:pt idx="49">
                  <c:v>1.3333333333333335E-3</c:v>
                </c:pt>
                <c:pt idx="50">
                  <c:v>1.6666666666666666E-3</c:v>
                </c:pt>
                <c:pt idx="51">
                  <c:v>2E-3</c:v>
                </c:pt>
                <c:pt idx="52">
                  <c:v>2.3333333333333335E-3</c:v>
                </c:pt>
                <c:pt idx="53">
                  <c:v>2.666666666666667E-3</c:v>
                </c:pt>
                <c:pt idx="54">
                  <c:v>3.0000000000000001E-3</c:v>
                </c:pt>
                <c:pt idx="55">
                  <c:v>3.333333333333334E-3</c:v>
                </c:pt>
                <c:pt idx="56">
                  <c:v>3.6666666666666666E-3</c:v>
                </c:pt>
                <c:pt idx="57">
                  <c:v>4.0000000000000001E-3</c:v>
                </c:pt>
                <c:pt idx="58">
                  <c:v>4.3333333333333331E-3</c:v>
                </c:pt>
                <c:pt idx="59">
                  <c:v>4.6666666666666671E-3</c:v>
                </c:pt>
                <c:pt idx="60">
                  <c:v>5.0000000000000001E-3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069-4F1E-B31A-A7B057263C64}"/>
            </c:ext>
          </c:extLst>
        </c:ser>
        <c:ser>
          <c:idx val="6"/>
          <c:order val="6"/>
          <c:tx>
            <c:strRef>
              <c:f>'Fan Chart'!$H$6</c:f>
              <c:strCache>
                <c:ptCount val="1"/>
                <c:pt idx="0">
                  <c:v>Fan Size</c:v>
                </c:pt>
              </c:strCache>
            </c:strRef>
          </c:tx>
          <c:spPr>
            <a:solidFill>
              <a:srgbClr val="16522E">
                <a:alpha val="80000"/>
              </a:srgbClr>
            </a:solidFill>
            <a:ln w="25400">
              <a:noFill/>
            </a:ln>
            <a:effectLst/>
          </c:spPr>
          <c:cat>
            <c:numRef>
              <c:f>'Fan Chart'!$A$7:$A$67</c:f>
              <c:numCache>
                <c:formatCode>dd\-mmm\-yyyy</c:formatCode>
                <c:ptCount val="61"/>
                <c:pt idx="0">
                  <c:v>43435</c:v>
                </c:pt>
                <c:pt idx="1">
                  <c:v>43466</c:v>
                </c:pt>
                <c:pt idx="2">
                  <c:v>43497</c:v>
                </c:pt>
                <c:pt idx="3">
                  <c:v>43525</c:v>
                </c:pt>
                <c:pt idx="4">
                  <c:v>43556</c:v>
                </c:pt>
                <c:pt idx="5">
                  <c:v>43586</c:v>
                </c:pt>
                <c:pt idx="6">
                  <c:v>43617</c:v>
                </c:pt>
                <c:pt idx="7">
                  <c:v>43647</c:v>
                </c:pt>
                <c:pt idx="8">
                  <c:v>43678</c:v>
                </c:pt>
                <c:pt idx="9">
                  <c:v>43709</c:v>
                </c:pt>
                <c:pt idx="10">
                  <c:v>43739</c:v>
                </c:pt>
                <c:pt idx="11">
                  <c:v>43770</c:v>
                </c:pt>
                <c:pt idx="12">
                  <c:v>43800</c:v>
                </c:pt>
                <c:pt idx="13">
                  <c:v>43831</c:v>
                </c:pt>
                <c:pt idx="14">
                  <c:v>43862</c:v>
                </c:pt>
                <c:pt idx="15">
                  <c:v>43891</c:v>
                </c:pt>
                <c:pt idx="16">
                  <c:v>43922</c:v>
                </c:pt>
                <c:pt idx="17">
                  <c:v>43952</c:v>
                </c:pt>
                <c:pt idx="18">
                  <c:v>43983</c:v>
                </c:pt>
                <c:pt idx="19">
                  <c:v>44013</c:v>
                </c:pt>
                <c:pt idx="20">
                  <c:v>44044</c:v>
                </c:pt>
                <c:pt idx="21">
                  <c:v>44075</c:v>
                </c:pt>
                <c:pt idx="22">
                  <c:v>44105</c:v>
                </c:pt>
                <c:pt idx="23">
                  <c:v>44136</c:v>
                </c:pt>
                <c:pt idx="24">
                  <c:v>44166</c:v>
                </c:pt>
                <c:pt idx="25">
                  <c:v>44197</c:v>
                </c:pt>
                <c:pt idx="26">
                  <c:v>44228</c:v>
                </c:pt>
                <c:pt idx="27">
                  <c:v>44256</c:v>
                </c:pt>
                <c:pt idx="28">
                  <c:v>44287</c:v>
                </c:pt>
                <c:pt idx="29">
                  <c:v>44317</c:v>
                </c:pt>
                <c:pt idx="30">
                  <c:v>44348</c:v>
                </c:pt>
                <c:pt idx="31">
                  <c:v>44378</c:v>
                </c:pt>
                <c:pt idx="32">
                  <c:v>44409</c:v>
                </c:pt>
                <c:pt idx="33">
                  <c:v>44440</c:v>
                </c:pt>
                <c:pt idx="34">
                  <c:v>44470</c:v>
                </c:pt>
                <c:pt idx="35">
                  <c:v>44501</c:v>
                </c:pt>
                <c:pt idx="36">
                  <c:v>44531</c:v>
                </c:pt>
                <c:pt idx="37">
                  <c:v>44562</c:v>
                </c:pt>
                <c:pt idx="38">
                  <c:v>44593</c:v>
                </c:pt>
                <c:pt idx="39">
                  <c:v>44621</c:v>
                </c:pt>
                <c:pt idx="40">
                  <c:v>44652</c:v>
                </c:pt>
                <c:pt idx="41">
                  <c:v>44682</c:v>
                </c:pt>
                <c:pt idx="42">
                  <c:v>44713</c:v>
                </c:pt>
                <c:pt idx="43">
                  <c:v>44743</c:v>
                </c:pt>
                <c:pt idx="44">
                  <c:v>44774</c:v>
                </c:pt>
                <c:pt idx="45">
                  <c:v>44805</c:v>
                </c:pt>
                <c:pt idx="46">
                  <c:v>44835</c:v>
                </c:pt>
                <c:pt idx="47">
                  <c:v>44866</c:v>
                </c:pt>
                <c:pt idx="48">
                  <c:v>44896</c:v>
                </c:pt>
                <c:pt idx="49">
                  <c:v>44927</c:v>
                </c:pt>
                <c:pt idx="50">
                  <c:v>44958</c:v>
                </c:pt>
                <c:pt idx="51">
                  <c:v>44986</c:v>
                </c:pt>
                <c:pt idx="52">
                  <c:v>45017</c:v>
                </c:pt>
                <c:pt idx="53">
                  <c:v>45047</c:v>
                </c:pt>
                <c:pt idx="54">
                  <c:v>45078</c:v>
                </c:pt>
                <c:pt idx="55">
                  <c:v>45108</c:v>
                </c:pt>
                <c:pt idx="56">
                  <c:v>45139</c:v>
                </c:pt>
                <c:pt idx="57">
                  <c:v>45170</c:v>
                </c:pt>
                <c:pt idx="58">
                  <c:v>45200</c:v>
                </c:pt>
                <c:pt idx="59">
                  <c:v>45231</c:v>
                </c:pt>
                <c:pt idx="60">
                  <c:v>45261</c:v>
                </c:pt>
              </c:numCache>
            </c:numRef>
          </c:cat>
          <c:val>
            <c:numRef>
              <c:f>'Fan Chart'!$H$7:$H$67</c:f>
              <c:numCache>
                <c:formatCode>#,##0.00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3.3333333333333338E-4</c:v>
                </c:pt>
                <c:pt idx="47">
                  <c:v>6.6666666666666675E-4</c:v>
                </c:pt>
                <c:pt idx="48">
                  <c:v>1E-3</c:v>
                </c:pt>
                <c:pt idx="49">
                  <c:v>1.3333333333333335E-3</c:v>
                </c:pt>
                <c:pt idx="50">
                  <c:v>1.6666666666666666E-3</c:v>
                </c:pt>
                <c:pt idx="51">
                  <c:v>2E-3</c:v>
                </c:pt>
                <c:pt idx="52">
                  <c:v>2.3333333333333335E-3</c:v>
                </c:pt>
                <c:pt idx="53">
                  <c:v>2.666666666666667E-3</c:v>
                </c:pt>
                <c:pt idx="54">
                  <c:v>3.0000000000000001E-3</c:v>
                </c:pt>
                <c:pt idx="55">
                  <c:v>3.333333333333334E-3</c:v>
                </c:pt>
                <c:pt idx="56">
                  <c:v>3.6666666666666666E-3</c:v>
                </c:pt>
                <c:pt idx="57">
                  <c:v>4.0000000000000001E-3</c:v>
                </c:pt>
                <c:pt idx="58">
                  <c:v>4.3333333333333331E-3</c:v>
                </c:pt>
                <c:pt idx="59">
                  <c:v>4.6666666666666671E-3</c:v>
                </c:pt>
                <c:pt idx="60">
                  <c:v>5.0000000000000001E-3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069-4F1E-B31A-A7B057263C64}"/>
            </c:ext>
          </c:extLst>
        </c:ser>
        <c:ser>
          <c:idx val="7"/>
          <c:order val="7"/>
          <c:tx>
            <c:strRef>
              <c:f>'Fan Chart'!$H$6</c:f>
              <c:strCache>
                <c:ptCount val="1"/>
                <c:pt idx="0">
                  <c:v>Fan Size</c:v>
                </c:pt>
              </c:strCache>
            </c:strRef>
          </c:tx>
          <c:spPr>
            <a:solidFill>
              <a:srgbClr val="16522E">
                <a:alpha val="60000"/>
              </a:srgbClr>
            </a:solidFill>
            <a:ln w="25400">
              <a:noFill/>
            </a:ln>
            <a:effectLst/>
          </c:spPr>
          <c:cat>
            <c:numRef>
              <c:f>'Fan Chart'!$A$7:$A$67</c:f>
              <c:numCache>
                <c:formatCode>dd\-mmm\-yyyy</c:formatCode>
                <c:ptCount val="61"/>
                <c:pt idx="0">
                  <c:v>43435</c:v>
                </c:pt>
                <c:pt idx="1">
                  <c:v>43466</c:v>
                </c:pt>
                <c:pt idx="2">
                  <c:v>43497</c:v>
                </c:pt>
                <c:pt idx="3">
                  <c:v>43525</c:v>
                </c:pt>
                <c:pt idx="4">
                  <c:v>43556</c:v>
                </c:pt>
                <c:pt idx="5">
                  <c:v>43586</c:v>
                </c:pt>
                <c:pt idx="6">
                  <c:v>43617</c:v>
                </c:pt>
                <c:pt idx="7">
                  <c:v>43647</c:v>
                </c:pt>
                <c:pt idx="8">
                  <c:v>43678</c:v>
                </c:pt>
                <c:pt idx="9">
                  <c:v>43709</c:v>
                </c:pt>
                <c:pt idx="10">
                  <c:v>43739</c:v>
                </c:pt>
                <c:pt idx="11">
                  <c:v>43770</c:v>
                </c:pt>
                <c:pt idx="12">
                  <c:v>43800</c:v>
                </c:pt>
                <c:pt idx="13">
                  <c:v>43831</c:v>
                </c:pt>
                <c:pt idx="14">
                  <c:v>43862</c:v>
                </c:pt>
                <c:pt idx="15">
                  <c:v>43891</c:v>
                </c:pt>
                <c:pt idx="16">
                  <c:v>43922</c:v>
                </c:pt>
                <c:pt idx="17">
                  <c:v>43952</c:v>
                </c:pt>
                <c:pt idx="18">
                  <c:v>43983</c:v>
                </c:pt>
                <c:pt idx="19">
                  <c:v>44013</c:v>
                </c:pt>
                <c:pt idx="20">
                  <c:v>44044</c:v>
                </c:pt>
                <c:pt idx="21">
                  <c:v>44075</c:v>
                </c:pt>
                <c:pt idx="22">
                  <c:v>44105</c:v>
                </c:pt>
                <c:pt idx="23">
                  <c:v>44136</c:v>
                </c:pt>
                <c:pt idx="24">
                  <c:v>44166</c:v>
                </c:pt>
                <c:pt idx="25">
                  <c:v>44197</c:v>
                </c:pt>
                <c:pt idx="26">
                  <c:v>44228</c:v>
                </c:pt>
                <c:pt idx="27">
                  <c:v>44256</c:v>
                </c:pt>
                <c:pt idx="28">
                  <c:v>44287</c:v>
                </c:pt>
                <c:pt idx="29">
                  <c:v>44317</c:v>
                </c:pt>
                <c:pt idx="30">
                  <c:v>44348</c:v>
                </c:pt>
                <c:pt idx="31">
                  <c:v>44378</c:v>
                </c:pt>
                <c:pt idx="32">
                  <c:v>44409</c:v>
                </c:pt>
                <c:pt idx="33">
                  <c:v>44440</c:v>
                </c:pt>
                <c:pt idx="34">
                  <c:v>44470</c:v>
                </c:pt>
                <c:pt idx="35">
                  <c:v>44501</c:v>
                </c:pt>
                <c:pt idx="36">
                  <c:v>44531</c:v>
                </c:pt>
                <c:pt idx="37">
                  <c:v>44562</c:v>
                </c:pt>
                <c:pt idx="38">
                  <c:v>44593</c:v>
                </c:pt>
                <c:pt idx="39">
                  <c:v>44621</c:v>
                </c:pt>
                <c:pt idx="40">
                  <c:v>44652</c:v>
                </c:pt>
                <c:pt idx="41">
                  <c:v>44682</c:v>
                </c:pt>
                <c:pt idx="42">
                  <c:v>44713</c:v>
                </c:pt>
                <c:pt idx="43">
                  <c:v>44743</c:v>
                </c:pt>
                <c:pt idx="44">
                  <c:v>44774</c:v>
                </c:pt>
                <c:pt idx="45">
                  <c:v>44805</c:v>
                </c:pt>
                <c:pt idx="46">
                  <c:v>44835</c:v>
                </c:pt>
                <c:pt idx="47">
                  <c:v>44866</c:v>
                </c:pt>
                <c:pt idx="48">
                  <c:v>44896</c:v>
                </c:pt>
                <c:pt idx="49">
                  <c:v>44927</c:v>
                </c:pt>
                <c:pt idx="50">
                  <c:v>44958</c:v>
                </c:pt>
                <c:pt idx="51">
                  <c:v>44986</c:v>
                </c:pt>
                <c:pt idx="52">
                  <c:v>45017</c:v>
                </c:pt>
                <c:pt idx="53">
                  <c:v>45047</c:v>
                </c:pt>
                <c:pt idx="54">
                  <c:v>45078</c:v>
                </c:pt>
                <c:pt idx="55">
                  <c:v>45108</c:v>
                </c:pt>
                <c:pt idx="56">
                  <c:v>45139</c:v>
                </c:pt>
                <c:pt idx="57">
                  <c:v>45170</c:v>
                </c:pt>
                <c:pt idx="58">
                  <c:v>45200</c:v>
                </c:pt>
                <c:pt idx="59">
                  <c:v>45231</c:v>
                </c:pt>
                <c:pt idx="60">
                  <c:v>45261</c:v>
                </c:pt>
              </c:numCache>
            </c:numRef>
          </c:cat>
          <c:val>
            <c:numRef>
              <c:f>'Fan Chart'!$H$7:$H$67</c:f>
              <c:numCache>
                <c:formatCode>#,##0.00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3.3333333333333338E-4</c:v>
                </c:pt>
                <c:pt idx="47">
                  <c:v>6.6666666666666675E-4</c:v>
                </c:pt>
                <c:pt idx="48">
                  <c:v>1E-3</c:v>
                </c:pt>
                <c:pt idx="49">
                  <c:v>1.3333333333333335E-3</c:v>
                </c:pt>
                <c:pt idx="50">
                  <c:v>1.6666666666666666E-3</c:v>
                </c:pt>
                <c:pt idx="51">
                  <c:v>2E-3</c:v>
                </c:pt>
                <c:pt idx="52">
                  <c:v>2.3333333333333335E-3</c:v>
                </c:pt>
                <c:pt idx="53">
                  <c:v>2.666666666666667E-3</c:v>
                </c:pt>
                <c:pt idx="54">
                  <c:v>3.0000000000000001E-3</c:v>
                </c:pt>
                <c:pt idx="55">
                  <c:v>3.333333333333334E-3</c:v>
                </c:pt>
                <c:pt idx="56">
                  <c:v>3.6666666666666666E-3</c:v>
                </c:pt>
                <c:pt idx="57">
                  <c:v>4.0000000000000001E-3</c:v>
                </c:pt>
                <c:pt idx="58">
                  <c:v>4.3333333333333331E-3</c:v>
                </c:pt>
                <c:pt idx="59">
                  <c:v>4.6666666666666671E-3</c:v>
                </c:pt>
                <c:pt idx="60">
                  <c:v>5.0000000000000001E-3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069-4F1E-B31A-A7B057263C64}"/>
            </c:ext>
          </c:extLst>
        </c:ser>
        <c:ser>
          <c:idx val="8"/>
          <c:order val="8"/>
          <c:tx>
            <c:strRef>
              <c:f>'Fan Chart'!$H$6</c:f>
              <c:strCache>
                <c:ptCount val="1"/>
                <c:pt idx="0">
                  <c:v>Fan Size</c:v>
                </c:pt>
              </c:strCache>
            </c:strRef>
          </c:tx>
          <c:spPr>
            <a:solidFill>
              <a:srgbClr val="16522E">
                <a:alpha val="40000"/>
              </a:srgbClr>
            </a:solidFill>
            <a:ln w="25400">
              <a:noFill/>
            </a:ln>
            <a:effectLst/>
          </c:spPr>
          <c:cat>
            <c:numRef>
              <c:f>'Fan Chart'!$A$7:$A$67</c:f>
              <c:numCache>
                <c:formatCode>dd\-mmm\-yyyy</c:formatCode>
                <c:ptCount val="61"/>
                <c:pt idx="0">
                  <c:v>43435</c:v>
                </c:pt>
                <c:pt idx="1">
                  <c:v>43466</c:v>
                </c:pt>
                <c:pt idx="2">
                  <c:v>43497</c:v>
                </c:pt>
                <c:pt idx="3">
                  <c:v>43525</c:v>
                </c:pt>
                <c:pt idx="4">
                  <c:v>43556</c:v>
                </c:pt>
                <c:pt idx="5">
                  <c:v>43586</c:v>
                </c:pt>
                <c:pt idx="6">
                  <c:v>43617</c:v>
                </c:pt>
                <c:pt idx="7">
                  <c:v>43647</c:v>
                </c:pt>
                <c:pt idx="8">
                  <c:v>43678</c:v>
                </c:pt>
                <c:pt idx="9">
                  <c:v>43709</c:v>
                </c:pt>
                <c:pt idx="10">
                  <c:v>43739</c:v>
                </c:pt>
                <c:pt idx="11">
                  <c:v>43770</c:v>
                </c:pt>
                <c:pt idx="12">
                  <c:v>43800</c:v>
                </c:pt>
                <c:pt idx="13">
                  <c:v>43831</c:v>
                </c:pt>
                <c:pt idx="14">
                  <c:v>43862</c:v>
                </c:pt>
                <c:pt idx="15">
                  <c:v>43891</c:v>
                </c:pt>
                <c:pt idx="16">
                  <c:v>43922</c:v>
                </c:pt>
                <c:pt idx="17">
                  <c:v>43952</c:v>
                </c:pt>
                <c:pt idx="18">
                  <c:v>43983</c:v>
                </c:pt>
                <c:pt idx="19">
                  <c:v>44013</c:v>
                </c:pt>
                <c:pt idx="20">
                  <c:v>44044</c:v>
                </c:pt>
                <c:pt idx="21">
                  <c:v>44075</c:v>
                </c:pt>
                <c:pt idx="22">
                  <c:v>44105</c:v>
                </c:pt>
                <c:pt idx="23">
                  <c:v>44136</c:v>
                </c:pt>
                <c:pt idx="24">
                  <c:v>44166</c:v>
                </c:pt>
                <c:pt idx="25">
                  <c:v>44197</c:v>
                </c:pt>
                <c:pt idx="26">
                  <c:v>44228</c:v>
                </c:pt>
                <c:pt idx="27">
                  <c:v>44256</c:v>
                </c:pt>
                <c:pt idx="28">
                  <c:v>44287</c:v>
                </c:pt>
                <c:pt idx="29">
                  <c:v>44317</c:v>
                </c:pt>
                <c:pt idx="30">
                  <c:v>44348</c:v>
                </c:pt>
                <c:pt idx="31">
                  <c:v>44378</c:v>
                </c:pt>
                <c:pt idx="32">
                  <c:v>44409</c:v>
                </c:pt>
                <c:pt idx="33">
                  <c:v>44440</c:v>
                </c:pt>
                <c:pt idx="34">
                  <c:v>44470</c:v>
                </c:pt>
                <c:pt idx="35">
                  <c:v>44501</c:v>
                </c:pt>
                <c:pt idx="36">
                  <c:v>44531</c:v>
                </c:pt>
                <c:pt idx="37">
                  <c:v>44562</c:v>
                </c:pt>
                <c:pt idx="38">
                  <c:v>44593</c:v>
                </c:pt>
                <c:pt idx="39">
                  <c:v>44621</c:v>
                </c:pt>
                <c:pt idx="40">
                  <c:v>44652</c:v>
                </c:pt>
                <c:pt idx="41">
                  <c:v>44682</c:v>
                </c:pt>
                <c:pt idx="42">
                  <c:v>44713</c:v>
                </c:pt>
                <c:pt idx="43">
                  <c:v>44743</c:v>
                </c:pt>
                <c:pt idx="44">
                  <c:v>44774</c:v>
                </c:pt>
                <c:pt idx="45">
                  <c:v>44805</c:v>
                </c:pt>
                <c:pt idx="46">
                  <c:v>44835</c:v>
                </c:pt>
                <c:pt idx="47">
                  <c:v>44866</c:v>
                </c:pt>
                <c:pt idx="48">
                  <c:v>44896</c:v>
                </c:pt>
                <c:pt idx="49">
                  <c:v>44927</c:v>
                </c:pt>
                <c:pt idx="50">
                  <c:v>44958</c:v>
                </c:pt>
                <c:pt idx="51">
                  <c:v>44986</c:v>
                </c:pt>
                <c:pt idx="52">
                  <c:v>45017</c:v>
                </c:pt>
                <c:pt idx="53">
                  <c:v>45047</c:v>
                </c:pt>
                <c:pt idx="54">
                  <c:v>45078</c:v>
                </c:pt>
                <c:pt idx="55">
                  <c:v>45108</c:v>
                </c:pt>
                <c:pt idx="56">
                  <c:v>45139</c:v>
                </c:pt>
                <c:pt idx="57">
                  <c:v>45170</c:v>
                </c:pt>
                <c:pt idx="58">
                  <c:v>45200</c:v>
                </c:pt>
                <c:pt idx="59">
                  <c:v>45231</c:v>
                </c:pt>
                <c:pt idx="60">
                  <c:v>45261</c:v>
                </c:pt>
              </c:numCache>
            </c:numRef>
          </c:cat>
          <c:val>
            <c:numRef>
              <c:f>'Fan Chart'!$H$7:$H$67</c:f>
              <c:numCache>
                <c:formatCode>#,##0.00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3.3333333333333338E-4</c:v>
                </c:pt>
                <c:pt idx="47">
                  <c:v>6.6666666666666675E-4</c:v>
                </c:pt>
                <c:pt idx="48">
                  <c:v>1E-3</c:v>
                </c:pt>
                <c:pt idx="49">
                  <c:v>1.3333333333333335E-3</c:v>
                </c:pt>
                <c:pt idx="50">
                  <c:v>1.6666666666666666E-3</c:v>
                </c:pt>
                <c:pt idx="51">
                  <c:v>2E-3</c:v>
                </c:pt>
                <c:pt idx="52">
                  <c:v>2.3333333333333335E-3</c:v>
                </c:pt>
                <c:pt idx="53">
                  <c:v>2.666666666666667E-3</c:v>
                </c:pt>
                <c:pt idx="54">
                  <c:v>3.0000000000000001E-3</c:v>
                </c:pt>
                <c:pt idx="55">
                  <c:v>3.333333333333334E-3</c:v>
                </c:pt>
                <c:pt idx="56">
                  <c:v>3.6666666666666666E-3</c:v>
                </c:pt>
                <c:pt idx="57">
                  <c:v>4.0000000000000001E-3</c:v>
                </c:pt>
                <c:pt idx="58">
                  <c:v>4.3333333333333331E-3</c:v>
                </c:pt>
                <c:pt idx="59">
                  <c:v>4.6666666666666671E-3</c:v>
                </c:pt>
                <c:pt idx="60">
                  <c:v>5.0000000000000001E-3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069-4F1E-B31A-A7B057263C64}"/>
            </c:ext>
          </c:extLst>
        </c:ser>
        <c:ser>
          <c:idx val="9"/>
          <c:order val="9"/>
          <c:tx>
            <c:strRef>
              <c:f>'Fan Chart'!$H$6</c:f>
              <c:strCache>
                <c:ptCount val="1"/>
                <c:pt idx="0">
                  <c:v>Fan Size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'Fan Chart'!$A$7:$A$67</c:f>
              <c:numCache>
                <c:formatCode>dd\-mmm\-yyyy</c:formatCode>
                <c:ptCount val="61"/>
                <c:pt idx="0">
                  <c:v>43435</c:v>
                </c:pt>
                <c:pt idx="1">
                  <c:v>43466</c:v>
                </c:pt>
                <c:pt idx="2">
                  <c:v>43497</c:v>
                </c:pt>
                <c:pt idx="3">
                  <c:v>43525</c:v>
                </c:pt>
                <c:pt idx="4">
                  <c:v>43556</c:v>
                </c:pt>
                <c:pt idx="5">
                  <c:v>43586</c:v>
                </c:pt>
                <c:pt idx="6">
                  <c:v>43617</c:v>
                </c:pt>
                <c:pt idx="7">
                  <c:v>43647</c:v>
                </c:pt>
                <c:pt idx="8">
                  <c:v>43678</c:v>
                </c:pt>
                <c:pt idx="9">
                  <c:v>43709</c:v>
                </c:pt>
                <c:pt idx="10">
                  <c:v>43739</c:v>
                </c:pt>
                <c:pt idx="11">
                  <c:v>43770</c:v>
                </c:pt>
                <c:pt idx="12">
                  <c:v>43800</c:v>
                </c:pt>
                <c:pt idx="13">
                  <c:v>43831</c:v>
                </c:pt>
                <c:pt idx="14">
                  <c:v>43862</c:v>
                </c:pt>
                <c:pt idx="15">
                  <c:v>43891</c:v>
                </c:pt>
                <c:pt idx="16">
                  <c:v>43922</c:v>
                </c:pt>
                <c:pt idx="17">
                  <c:v>43952</c:v>
                </c:pt>
                <c:pt idx="18">
                  <c:v>43983</c:v>
                </c:pt>
                <c:pt idx="19">
                  <c:v>44013</c:v>
                </c:pt>
                <c:pt idx="20">
                  <c:v>44044</c:v>
                </c:pt>
                <c:pt idx="21">
                  <c:v>44075</c:v>
                </c:pt>
                <c:pt idx="22">
                  <c:v>44105</c:v>
                </c:pt>
                <c:pt idx="23">
                  <c:v>44136</c:v>
                </c:pt>
                <c:pt idx="24">
                  <c:v>44166</c:v>
                </c:pt>
                <c:pt idx="25">
                  <c:v>44197</c:v>
                </c:pt>
                <c:pt idx="26">
                  <c:v>44228</c:v>
                </c:pt>
                <c:pt idx="27">
                  <c:v>44256</c:v>
                </c:pt>
                <c:pt idx="28">
                  <c:v>44287</c:v>
                </c:pt>
                <c:pt idx="29">
                  <c:v>44317</c:v>
                </c:pt>
                <c:pt idx="30">
                  <c:v>44348</c:v>
                </c:pt>
                <c:pt idx="31">
                  <c:v>44378</c:v>
                </c:pt>
                <c:pt idx="32">
                  <c:v>44409</c:v>
                </c:pt>
                <c:pt idx="33">
                  <c:v>44440</c:v>
                </c:pt>
                <c:pt idx="34">
                  <c:v>44470</c:v>
                </c:pt>
                <c:pt idx="35">
                  <c:v>44501</c:v>
                </c:pt>
                <c:pt idx="36">
                  <c:v>44531</c:v>
                </c:pt>
                <c:pt idx="37">
                  <c:v>44562</c:v>
                </c:pt>
                <c:pt idx="38">
                  <c:v>44593</c:v>
                </c:pt>
                <c:pt idx="39">
                  <c:v>44621</c:v>
                </c:pt>
                <c:pt idx="40">
                  <c:v>44652</c:v>
                </c:pt>
                <c:pt idx="41">
                  <c:v>44682</c:v>
                </c:pt>
                <c:pt idx="42">
                  <c:v>44713</c:v>
                </c:pt>
                <c:pt idx="43">
                  <c:v>44743</c:v>
                </c:pt>
                <c:pt idx="44">
                  <c:v>44774</c:v>
                </c:pt>
                <c:pt idx="45">
                  <c:v>44805</c:v>
                </c:pt>
                <c:pt idx="46">
                  <c:v>44835</c:v>
                </c:pt>
                <c:pt idx="47">
                  <c:v>44866</c:v>
                </c:pt>
                <c:pt idx="48">
                  <c:v>44896</c:v>
                </c:pt>
                <c:pt idx="49">
                  <c:v>44927</c:v>
                </c:pt>
                <c:pt idx="50">
                  <c:v>44958</c:v>
                </c:pt>
                <c:pt idx="51">
                  <c:v>44986</c:v>
                </c:pt>
                <c:pt idx="52">
                  <c:v>45017</c:v>
                </c:pt>
                <c:pt idx="53">
                  <c:v>45047</c:v>
                </c:pt>
                <c:pt idx="54">
                  <c:v>45078</c:v>
                </c:pt>
                <c:pt idx="55">
                  <c:v>45108</c:v>
                </c:pt>
                <c:pt idx="56">
                  <c:v>45139</c:v>
                </c:pt>
                <c:pt idx="57">
                  <c:v>45170</c:v>
                </c:pt>
                <c:pt idx="58">
                  <c:v>45200</c:v>
                </c:pt>
                <c:pt idx="59">
                  <c:v>45231</c:v>
                </c:pt>
                <c:pt idx="60">
                  <c:v>45261</c:v>
                </c:pt>
              </c:numCache>
            </c:numRef>
          </c:cat>
          <c:val>
            <c:numRef>
              <c:f>'Fan Chart'!$H$7:$H$67</c:f>
              <c:numCache>
                <c:formatCode>#,##0.00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3.3333333333333338E-4</c:v>
                </c:pt>
                <c:pt idx="47">
                  <c:v>6.6666666666666675E-4</c:v>
                </c:pt>
                <c:pt idx="48">
                  <c:v>1E-3</c:v>
                </c:pt>
                <c:pt idx="49">
                  <c:v>1.3333333333333335E-3</c:v>
                </c:pt>
                <c:pt idx="50">
                  <c:v>1.6666666666666666E-3</c:v>
                </c:pt>
                <c:pt idx="51">
                  <c:v>2E-3</c:v>
                </c:pt>
                <c:pt idx="52">
                  <c:v>2.3333333333333335E-3</c:v>
                </c:pt>
                <c:pt idx="53">
                  <c:v>2.666666666666667E-3</c:v>
                </c:pt>
                <c:pt idx="54">
                  <c:v>3.0000000000000001E-3</c:v>
                </c:pt>
                <c:pt idx="55">
                  <c:v>3.333333333333334E-3</c:v>
                </c:pt>
                <c:pt idx="56">
                  <c:v>3.6666666666666666E-3</c:v>
                </c:pt>
                <c:pt idx="57">
                  <c:v>4.0000000000000001E-3</c:v>
                </c:pt>
                <c:pt idx="58">
                  <c:v>4.3333333333333331E-3</c:v>
                </c:pt>
                <c:pt idx="59">
                  <c:v>4.6666666666666671E-3</c:v>
                </c:pt>
                <c:pt idx="60">
                  <c:v>5.0000000000000001E-3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069-4F1E-B31A-A7B057263C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5293215"/>
        <c:axId val="815294047"/>
      </c:areaChart>
      <c:dateAx>
        <c:axId val="815293215"/>
        <c:scaling>
          <c:orientation val="minMax"/>
        </c:scaling>
        <c:delete val="0"/>
        <c:axPos val="b"/>
        <c:numFmt formatCode="dd\-mmm\-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5294047"/>
        <c:crosses val="autoZero"/>
        <c:auto val="1"/>
        <c:lblOffset val="100"/>
        <c:baseTimeUnit val="months"/>
      </c:dateAx>
      <c:valAx>
        <c:axId val="8152940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5293215"/>
        <c:crosses val="autoZero"/>
        <c:crossBetween val="midCat"/>
        <c:dispUnits>
          <c:builtInUnit val="tr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</xdr:colOff>
      <xdr:row>6</xdr:row>
      <xdr:rowOff>0</xdr:rowOff>
    </xdr:from>
    <xdr:to>
      <xdr:col>22</xdr:col>
      <xdr:colOff>0</xdr:colOff>
      <xdr:row>30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E7686A4-5378-4330-A277-5D75482F90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87C9644-C7C5-425E-B505-FF7DB47204D5}" name="Data" displayName="Data" ref="A6:H67" totalsRowShown="0">
  <autoFilter ref="A6:H67" xr:uid="{A8CF5B2E-7F7C-4E9C-8B68-1C603D8B68FA}"/>
  <tableColumns count="8">
    <tableColumn id="1" xr3:uid="{73B7A7CD-1406-44A2-85CB-B2662643CDE9}" name="Date" dataDxfId="12"/>
    <tableColumn id="8" xr3:uid="{17E27474-62FF-4F8B-B9DA-A08D118B2B40}" name="ALL" dataDxfId="11" dataCellStyle="Normal 2">
      <calculatedColumnFormula array="1">IF(Data[[#This Row],[Actual]]&lt;&gt;"",Data[[#This Row],[Actual]],ManArima($B$1,$B$2,$B$3,$B6:$B$7))</calculatedColumnFormula>
    </tableColumn>
    <tableColumn id="2" xr3:uid="{D148BE10-D086-4B6F-844B-8E8B307CDAE3}" name="Actual" dataDxfId="10"/>
    <tableColumn id="3" xr3:uid="{57122D48-1586-45DF-8D1C-07252EA41E78}" name="Forecast" dataDxfId="9">
      <calculatedColumnFormula>IF(Data[[#This Row],[Actual]]="",Data[[#This Row],[ALL]],"")</calculatedColumnFormula>
    </tableColumn>
    <tableColumn id="4" xr3:uid="{1E1C80EB-8C25-4F1C-AE60-E466528BF859}" name="Min" dataDxfId="8">
      <calculatedColumnFormula>Data[[#This Row],[Forecast]]+($E$3-$D$3)/COUNT(Data[Forecast])*COUNT(INDEX(Data[Forecast],1):Data[[#This Row],[Forecast]])</calculatedColumnFormula>
    </tableColumn>
    <tableColumn id="5" xr3:uid="{4956A534-6F84-4476-8032-C1C97F69FBC5}" name="Max" dataDxfId="7">
      <calculatedColumnFormula>Data[[#This Row],[Forecast]]+($F$3-$D$3)/COUNT(Data[Forecast])*COUNT(INDEX(Data[Forecast],1):Data[[#This Row],[Forecast]])</calculatedColumnFormula>
    </tableColumn>
    <tableColumn id="6" xr3:uid="{C063B3F1-4172-4653-AE5A-68A4FC00487A}" name="Base" dataDxfId="6">
      <calculatedColumnFormula>Data[[#This Row],[Actual]]+Data[[#This Row],[Min]]</calculatedColumnFormula>
    </tableColumn>
    <tableColumn id="7" xr3:uid="{5AA1577C-8278-487E-A7ED-E3AAF468DE8A}" name="Fan Size" dataDxfId="5">
      <calculatedColumnFormula>(Data[[#This Row],[Max]]-Data[[#This Row],[Min]])/$H$3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80BBCA3-28D6-4C89-82DC-F332CAE5424A}" name="Table2" displayName="Table2" ref="A3:C53" totalsRowShown="0">
  <autoFilter ref="A3:C53" xr:uid="{980BBCA3-28D6-4C89-82DC-F332CAE5424A}"/>
  <tableColumns count="3">
    <tableColumn id="2" xr3:uid="{23F21890-12DE-4C4B-A3A1-6F74ADBE4C58}" name="Date" dataDxfId="4" dataCellStyle="Normal 2"/>
    <tableColumn id="3" xr3:uid="{B5B446C5-7B62-415F-9BAE-0E428A500CEF}" name="g_mtm"/>
    <tableColumn id="4" xr3:uid="{7BD84E61-7E5E-4973-B733-42A20898EF2D}" name="g_yoy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E8D0D9-A346-45C8-BA93-94E7586C88D2}">
  <sheetPr codeName="Sheet3"/>
  <dimension ref="A1:H67"/>
  <sheetViews>
    <sheetView zoomScale="62" zoomScaleNormal="55" workbookViewId="0">
      <selection activeCell="K52" sqref="K52"/>
    </sheetView>
  </sheetViews>
  <sheetFormatPr defaultColWidth="9.1640625" defaultRowHeight="14.5" x14ac:dyDescent="0.35"/>
  <cols>
    <col min="1" max="1" width="14.4140625" style="6" customWidth="1"/>
    <col min="2" max="2" width="23.9140625" style="6" customWidth="1"/>
    <col min="3" max="3" width="24.33203125" style="6" customWidth="1"/>
    <col min="4" max="4" width="7" style="6" customWidth="1"/>
    <col min="5" max="5" width="9.25" style="6" customWidth="1"/>
    <col min="6" max="6" width="9.58203125" style="6" customWidth="1"/>
    <col min="7" max="7" width="7.08203125" style="6" customWidth="1"/>
    <col min="8" max="8" width="6.5" style="6" customWidth="1"/>
    <col min="9" max="16384" width="9.1640625" style="6"/>
  </cols>
  <sheetData>
    <row r="1" spans="1:8" x14ac:dyDescent="0.35">
      <c r="A1" s="6" t="s">
        <v>18</v>
      </c>
      <c r="B1" s="6">
        <v>1</v>
      </c>
    </row>
    <row r="2" spans="1:8" x14ac:dyDescent="0.35">
      <c r="A2" s="6" t="s">
        <v>19</v>
      </c>
      <c r="B2" s="6">
        <v>2</v>
      </c>
      <c r="D2" s="7" t="s">
        <v>20</v>
      </c>
      <c r="E2" s="7" t="s">
        <v>21</v>
      </c>
      <c r="F2" s="7" t="s">
        <v>22</v>
      </c>
      <c r="G2" s="8"/>
      <c r="H2" s="7" t="s">
        <v>23</v>
      </c>
    </row>
    <row r="3" spans="1:8" x14ac:dyDescent="0.35">
      <c r="A3" s="6" t="s">
        <v>24</v>
      </c>
      <c r="B3" s="6">
        <v>0</v>
      </c>
      <c r="D3" s="9" cm="1">
        <f t="array" ref="D3">INDEX(Data[Forecast],ROWS(Data[Forecast]))</f>
        <v>4.0433876070967531E-2</v>
      </c>
      <c r="E3" s="10">
        <v>-0.05</v>
      </c>
      <c r="F3" s="10">
        <v>0.05</v>
      </c>
      <c r="H3" s="11">
        <v>20</v>
      </c>
    </row>
    <row r="6" spans="1:8" x14ac:dyDescent="0.35">
      <c r="A6" s="6" t="s">
        <v>25</v>
      </c>
      <c r="B6" s="6" t="s">
        <v>26</v>
      </c>
      <c r="C6" s="6" t="s">
        <v>27</v>
      </c>
      <c r="D6" s="6" t="s">
        <v>20</v>
      </c>
      <c r="E6" s="6" t="s">
        <v>21</v>
      </c>
      <c r="F6" s="6" t="s">
        <v>22</v>
      </c>
      <c r="G6" s="6" t="s">
        <v>28</v>
      </c>
      <c r="H6" s="6" t="s">
        <v>29</v>
      </c>
    </row>
    <row r="7" spans="1:8" ht="15.5" x14ac:dyDescent="0.35">
      <c r="A7" s="12">
        <v>43435</v>
      </c>
      <c r="B7" s="14" cm="1">
        <f t="array" ref="B7">IF(Data[[#This Row],[Actual]]&lt;&gt;"",Data[[#This Row],[Actual]],ManArima($B$1,$B$2,$B$3,$B6:$B$7))</f>
        <v>1.9906474117017403E-2</v>
      </c>
      <c r="C7" s="14">
        <v>1.9906474117017403E-2</v>
      </c>
      <c r="D7" s="13"/>
      <c r="E7" s="3">
        <f>Data[[#This Row],[Forecast]]+($E$3-$D$3)/COUNT(Data[Forecast])*COUNT(INDEX(Data[Forecast],1):Data[[#This Row],[Forecast]])</f>
        <v>0</v>
      </c>
      <c r="F7" s="3">
        <f>Data[[#This Row],[Forecast]]+($F$3-$D$3)/COUNT(Data[Forecast])*COUNT(INDEX(Data[Forecast],1):Data[[#This Row],[Forecast]])</f>
        <v>0</v>
      </c>
      <c r="G7" s="3">
        <f>Data[[#This Row],[Actual]]+Data[[#This Row],[Min]]</f>
        <v>1.9906474117017403E-2</v>
      </c>
      <c r="H7" s="3">
        <f>(Data[[#This Row],[Max]]-Data[[#This Row],[Min]])/$H$3</f>
        <v>0</v>
      </c>
    </row>
    <row r="8" spans="1:8" ht="15.5" x14ac:dyDescent="0.35">
      <c r="A8" s="12">
        <f>EOMONTH(A7,0)+1</f>
        <v>43466</v>
      </c>
      <c r="B8" s="14" cm="1">
        <f t="array" ref="B8">IF(Data[[#This Row],[Actual]]&lt;&gt;"",Data[[#This Row],[Actual]],ManArima($B$1,$B$2,$B$3,$B$7:$B7))</f>
        <v>-1.2347184938439337E-3</v>
      </c>
      <c r="C8" s="14">
        <v>-1.2347184938439337E-3</v>
      </c>
      <c r="D8" s="13"/>
      <c r="E8" s="3">
        <f>Data[[#This Row],[Forecast]]+($E$3-$D$3)/COUNT(Data[Forecast])*COUNT(INDEX(Data[Forecast],1):Data[[#This Row],[Forecast]])</f>
        <v>0</v>
      </c>
      <c r="F8" s="3">
        <f>Data[[#This Row],[Forecast]]+($F$3-$D$3)/COUNT(Data[Forecast])*COUNT(INDEX(Data[Forecast],1):Data[[#This Row],[Forecast]])</f>
        <v>0</v>
      </c>
      <c r="G8" s="3">
        <f>Data[[#This Row],[Actual]]+Data[[#This Row],[Min]]</f>
        <v>-1.2347184938439337E-3</v>
      </c>
      <c r="H8" s="3">
        <f>(Data[[#This Row],[Max]]-Data[[#This Row],[Min]])/$H$3</f>
        <v>0</v>
      </c>
    </row>
    <row r="9" spans="1:8" ht="15.5" x14ac:dyDescent="0.35">
      <c r="A9" s="12">
        <f t="shared" ref="A9:A67" si="0">EOMONTH(A8,0)+1</f>
        <v>43497</v>
      </c>
      <c r="B9" s="14" cm="1">
        <f t="array" ref="B9">IF(Data[[#This Row],[Actual]]&lt;&gt;"",Data[[#This Row],[Actual]],ManArima($B$1,$B$2,$B$3,$B$7:$B8))</f>
        <v>1.7287825383178745E-3</v>
      </c>
      <c r="C9" s="14">
        <v>1.7287825383178745E-3</v>
      </c>
      <c r="D9" s="13"/>
      <c r="E9" s="3">
        <f>Data[[#This Row],[Forecast]]+($E$3-$D$3)/COUNT(Data[Forecast])*COUNT(INDEX(Data[Forecast],1):Data[[#This Row],[Forecast]])</f>
        <v>0</v>
      </c>
      <c r="F9" s="3">
        <f>Data[[#This Row],[Forecast]]+($F$3-$D$3)/COUNT(Data[Forecast])*COUNT(INDEX(Data[Forecast],1):Data[[#This Row],[Forecast]])</f>
        <v>0</v>
      </c>
      <c r="G9" s="3">
        <f>Data[[#This Row],[Actual]]+Data[[#This Row],[Min]]</f>
        <v>1.7287825383178745E-3</v>
      </c>
      <c r="H9" s="3">
        <f>(Data[[#This Row],[Max]]-Data[[#This Row],[Min]])/$H$3</f>
        <v>0</v>
      </c>
    </row>
    <row r="10" spans="1:8" ht="15.5" x14ac:dyDescent="0.35">
      <c r="A10" s="12">
        <f t="shared" si="0"/>
        <v>43525</v>
      </c>
      <c r="B10" s="14" cm="1">
        <f t="array" ref="B10">IF(Data[[#This Row],[Actual]]&lt;&gt;"",Data[[#This Row],[Actual]],ManArima($B$1,$B$2,$B$3,$B$7:$B9))</f>
        <v>1.0043566472784038E-2</v>
      </c>
      <c r="C10" s="14">
        <v>1.0043566472784038E-2</v>
      </c>
      <c r="D10" s="13"/>
      <c r="E10" s="3">
        <f>Data[[#This Row],[Forecast]]+($E$3-$D$3)/COUNT(Data[Forecast])*COUNT(INDEX(Data[Forecast],1):Data[[#This Row],[Forecast]])</f>
        <v>0</v>
      </c>
      <c r="F10" s="3">
        <f>Data[[#This Row],[Forecast]]+($F$3-$D$3)/COUNT(Data[Forecast])*COUNT(INDEX(Data[Forecast],1):Data[[#This Row],[Forecast]])</f>
        <v>0</v>
      </c>
      <c r="G10" s="3">
        <f>Data[[#This Row],[Actual]]+Data[[#This Row],[Min]]</f>
        <v>1.0043566472784038E-2</v>
      </c>
      <c r="H10" s="3">
        <f>(Data[[#This Row],[Max]]-Data[[#This Row],[Min]])/$H$3</f>
        <v>0</v>
      </c>
    </row>
    <row r="11" spans="1:8" ht="15.5" x14ac:dyDescent="0.35">
      <c r="A11" s="12">
        <f t="shared" si="0"/>
        <v>43556</v>
      </c>
      <c r="B11" s="14" cm="1">
        <f t="array" ref="B11">IF(Data[[#This Row],[Actual]]&lt;&gt;"",Data[[#This Row],[Actual]],ManArima($B$1,$B$2,$B$3,$B$7:$B10))</f>
        <v>5.8785328191972575E-3</v>
      </c>
      <c r="C11" s="14">
        <v>5.8785328191972575E-3</v>
      </c>
      <c r="D11" s="13"/>
      <c r="E11" s="3">
        <f>Data[[#This Row],[Forecast]]+($E$3-$D$3)/COUNT(Data[Forecast])*COUNT(INDEX(Data[Forecast],1):Data[[#This Row],[Forecast]])</f>
        <v>0</v>
      </c>
      <c r="F11" s="3">
        <f>Data[[#This Row],[Forecast]]+($F$3-$D$3)/COUNT(Data[Forecast])*COUNT(INDEX(Data[Forecast],1):Data[[#This Row],[Forecast]])</f>
        <v>0</v>
      </c>
      <c r="G11" s="3">
        <f>Data[[#This Row],[Actual]]+Data[[#This Row],[Min]]</f>
        <v>5.8785328191972575E-3</v>
      </c>
      <c r="H11" s="3">
        <f>(Data[[#This Row],[Max]]-Data[[#This Row],[Min]])/$H$3</f>
        <v>0</v>
      </c>
    </row>
    <row r="12" spans="1:8" ht="15.5" x14ac:dyDescent="0.35">
      <c r="A12" s="12">
        <f t="shared" si="0"/>
        <v>43586</v>
      </c>
      <c r="B12" s="14" cm="1">
        <f t="array" ref="B12">IF(Data[[#This Row],[Actual]]&lt;&gt;"",Data[[#This Row],[Actual]],ManArima($B$1,$B$2,$B$3,$B$7:$B11))</f>
        <v>2.5358189942550347E-3</v>
      </c>
      <c r="C12" s="14">
        <v>2.5358189942550347E-3</v>
      </c>
      <c r="D12" s="13"/>
      <c r="E12" s="3">
        <f>Data[[#This Row],[Forecast]]+($E$3-$D$3)/COUNT(Data[Forecast])*COUNT(INDEX(Data[Forecast],1):Data[[#This Row],[Forecast]])</f>
        <v>0</v>
      </c>
      <c r="F12" s="3">
        <f>Data[[#This Row],[Forecast]]+($F$3-$D$3)/COUNT(Data[Forecast])*COUNT(INDEX(Data[Forecast],1):Data[[#This Row],[Forecast]])</f>
        <v>0</v>
      </c>
      <c r="G12" s="3">
        <f>Data[[#This Row],[Actual]]+Data[[#This Row],[Min]]</f>
        <v>2.5358189942550347E-3</v>
      </c>
      <c r="H12" s="3">
        <f>(Data[[#This Row],[Max]]-Data[[#This Row],[Min]])/$H$3</f>
        <v>0</v>
      </c>
    </row>
    <row r="13" spans="1:8" ht="15.5" x14ac:dyDescent="0.35">
      <c r="A13" s="12">
        <f t="shared" si="0"/>
        <v>43617</v>
      </c>
      <c r="B13" s="14" cm="1">
        <f t="array" ref="B13">IF(Data[[#This Row],[Actual]]&lt;&gt;"",Data[[#This Row],[Actual]],ManArima($B$1,$B$2,$B$3,$B$7:$B12))</f>
        <v>-3.3346768523168091E-4</v>
      </c>
      <c r="C13" s="14">
        <v>-3.3346768523168091E-4</v>
      </c>
      <c r="D13" s="13"/>
      <c r="E13" s="3">
        <f>Data[[#This Row],[Forecast]]+($E$3-$D$3)/COUNT(Data[Forecast])*COUNT(INDEX(Data[Forecast],1):Data[[#This Row],[Forecast]])</f>
        <v>0</v>
      </c>
      <c r="F13" s="3">
        <f>Data[[#This Row],[Forecast]]+($F$3-$D$3)/COUNT(Data[Forecast])*COUNT(INDEX(Data[Forecast],1):Data[[#This Row],[Forecast]])</f>
        <v>0</v>
      </c>
      <c r="G13" s="3">
        <f>Data[[#This Row],[Actual]]+Data[[#This Row],[Min]]</f>
        <v>-3.3346768523168091E-4</v>
      </c>
      <c r="H13" s="3">
        <f>(Data[[#This Row],[Max]]-Data[[#This Row],[Min]])/$H$3</f>
        <v>0</v>
      </c>
    </row>
    <row r="14" spans="1:8" ht="15.5" x14ac:dyDescent="0.35">
      <c r="A14" s="12">
        <f t="shared" si="0"/>
        <v>43647</v>
      </c>
      <c r="B14" s="14" cm="1">
        <f t="array" ref="B14">IF(Data[[#This Row],[Actual]]&lt;&gt;"",Data[[#This Row],[Actual]],ManArima($B$1,$B$2,$B$3,$B$7:$B13))</f>
        <v>-1.7372418084593555E-4</v>
      </c>
      <c r="C14" s="14">
        <v>-1.7372418084593555E-4</v>
      </c>
      <c r="D14" s="13"/>
      <c r="E14" s="3">
        <f>Data[[#This Row],[Forecast]]+($E$3-$D$3)/COUNT(Data[Forecast])*COUNT(INDEX(Data[Forecast],1):Data[[#This Row],[Forecast]])</f>
        <v>0</v>
      </c>
      <c r="F14" s="3">
        <f>Data[[#This Row],[Forecast]]+($F$3-$D$3)/COUNT(Data[Forecast])*COUNT(INDEX(Data[Forecast],1):Data[[#This Row],[Forecast]])</f>
        <v>0</v>
      </c>
      <c r="G14" s="3">
        <f>Data[[#This Row],[Actual]]+Data[[#This Row],[Min]]</f>
        <v>-1.7372418084593555E-4</v>
      </c>
      <c r="H14" s="3">
        <f>(Data[[#This Row],[Max]]-Data[[#This Row],[Min]])/$H$3</f>
        <v>0</v>
      </c>
    </row>
    <row r="15" spans="1:8" ht="15.5" x14ac:dyDescent="0.35">
      <c r="A15" s="12">
        <f t="shared" si="0"/>
        <v>43678</v>
      </c>
      <c r="B15" s="14" cm="1">
        <f t="array" ref="B15">IF(Data[[#This Row],[Actual]]&lt;&gt;"",Data[[#This Row],[Actual]],ManArima($B$1,$B$2,$B$3,$B$7:$B14))</f>
        <v>-1.7629475595896116E-3</v>
      </c>
      <c r="C15" s="14">
        <v>-1.7629475595896116E-3</v>
      </c>
      <c r="D15" s="13"/>
      <c r="E15" s="3">
        <f>Data[[#This Row],[Forecast]]+($E$3-$D$3)/COUNT(Data[Forecast])*COUNT(INDEX(Data[Forecast],1):Data[[#This Row],[Forecast]])</f>
        <v>0</v>
      </c>
      <c r="F15" s="3">
        <f>Data[[#This Row],[Forecast]]+($F$3-$D$3)/COUNT(Data[Forecast])*COUNT(INDEX(Data[Forecast],1):Data[[#This Row],[Forecast]])</f>
        <v>0</v>
      </c>
      <c r="G15" s="3">
        <f>Data[[#This Row],[Actual]]+Data[[#This Row],[Min]]</f>
        <v>-1.7629475595896116E-3</v>
      </c>
      <c r="H15" s="3">
        <f>(Data[[#This Row],[Max]]-Data[[#This Row],[Min]])/$H$3</f>
        <v>0</v>
      </c>
    </row>
    <row r="16" spans="1:8" ht="15.5" x14ac:dyDescent="0.35">
      <c r="A16" s="12">
        <f t="shared" si="0"/>
        <v>43709</v>
      </c>
      <c r="B16" s="14" cm="1">
        <f t="array" ref="B16">IF(Data[[#This Row],[Actual]]&lt;&gt;"",Data[[#This Row],[Actual]],ManArima($B$1,$B$2,$B$3,$B$7:$B15))</f>
        <v>2.2907127469831146E-3</v>
      </c>
      <c r="C16" s="14">
        <v>2.2907127469831146E-3</v>
      </c>
      <c r="D16" s="13"/>
      <c r="E16" s="3">
        <f>Data[[#This Row],[Forecast]]+($E$3-$D$3)/COUNT(Data[Forecast])*COUNT(INDEX(Data[Forecast],1):Data[[#This Row],[Forecast]])</f>
        <v>0</v>
      </c>
      <c r="F16" s="3">
        <f>Data[[#This Row],[Forecast]]+($F$3-$D$3)/COUNT(Data[Forecast])*COUNT(INDEX(Data[Forecast],1):Data[[#This Row],[Forecast]])</f>
        <v>0</v>
      </c>
      <c r="G16" s="3">
        <f>Data[[#This Row],[Actual]]+Data[[#This Row],[Min]]</f>
        <v>2.2907127469831146E-3</v>
      </c>
      <c r="H16" s="3">
        <f>(Data[[#This Row],[Max]]-Data[[#This Row],[Min]])/$H$3</f>
        <v>0</v>
      </c>
    </row>
    <row r="17" spans="1:8" ht="15.5" x14ac:dyDescent="0.35">
      <c r="A17" s="12">
        <f t="shared" si="0"/>
        <v>43739</v>
      </c>
      <c r="B17" s="14" cm="1">
        <f t="array" ref="B17">IF(Data[[#This Row],[Actual]]&lt;&gt;"",Data[[#This Row],[Actual]],ManArima($B$1,$B$2,$B$3,$B$7:$B16))</f>
        <v>4.1216561980494948E-3</v>
      </c>
      <c r="C17" s="14">
        <v>4.1216561980494948E-3</v>
      </c>
      <c r="D17" s="13"/>
      <c r="E17" s="3">
        <f>Data[[#This Row],[Forecast]]+($E$3-$D$3)/COUNT(Data[Forecast])*COUNT(INDEX(Data[Forecast],1):Data[[#This Row],[Forecast]])</f>
        <v>0</v>
      </c>
      <c r="F17" s="3">
        <f>Data[[#This Row],[Forecast]]+($F$3-$D$3)/COUNT(Data[Forecast])*COUNT(INDEX(Data[Forecast],1):Data[[#This Row],[Forecast]])</f>
        <v>0</v>
      </c>
      <c r="G17" s="3">
        <f>Data[[#This Row],[Actual]]+Data[[#This Row],[Min]]</f>
        <v>4.1216561980494948E-3</v>
      </c>
      <c r="H17" s="3">
        <f>(Data[[#This Row],[Max]]-Data[[#This Row],[Min]])/$H$3</f>
        <v>0</v>
      </c>
    </row>
    <row r="18" spans="1:8" ht="15.5" x14ac:dyDescent="0.35">
      <c r="A18" s="12">
        <f t="shared" si="0"/>
        <v>43770</v>
      </c>
      <c r="B18" s="14" cm="1">
        <f t="array" ref="B18">IF(Data[[#This Row],[Actual]]&lt;&gt;"",Data[[#This Row],[Actual]],ManArima($B$1,$B$2,$B$3,$B$7:$B17))</f>
        <v>4.2231082981729617E-3</v>
      </c>
      <c r="C18" s="14">
        <v>4.2231082981729617E-3</v>
      </c>
      <c r="D18" s="13"/>
      <c r="E18" s="3">
        <f>Data[[#This Row],[Forecast]]+($E$3-$D$3)/COUNT(Data[Forecast])*COUNT(INDEX(Data[Forecast],1):Data[[#This Row],[Forecast]])</f>
        <v>0</v>
      </c>
      <c r="F18" s="3">
        <f>Data[[#This Row],[Forecast]]+($F$3-$D$3)/COUNT(Data[Forecast])*COUNT(INDEX(Data[Forecast],1):Data[[#This Row],[Forecast]])</f>
        <v>0</v>
      </c>
      <c r="G18" s="3">
        <f>Data[[#This Row],[Actual]]+Data[[#This Row],[Min]]</f>
        <v>4.2231082981729617E-3</v>
      </c>
      <c r="H18" s="3">
        <f>(Data[[#This Row],[Max]]-Data[[#This Row],[Min]])/$H$3</f>
        <v>0</v>
      </c>
    </row>
    <row r="19" spans="1:8" ht="15.5" x14ac:dyDescent="0.35">
      <c r="A19" s="12">
        <f t="shared" si="0"/>
        <v>43800</v>
      </c>
      <c r="B19" s="14" cm="1">
        <f t="array" ref="B19">IF(Data[[#This Row],[Actual]]&lt;&gt;"",Data[[#This Row],[Actual]],ManArima($B$1,$B$2,$B$3,$B$7:$B18))</f>
        <v>3.0158934252297875E-3</v>
      </c>
      <c r="C19" s="14">
        <v>3.0158934252297875E-3</v>
      </c>
      <c r="D19" s="13"/>
      <c r="E19" s="3">
        <f>Data[[#This Row],[Forecast]]+($E$3-$D$3)/COUNT(Data[Forecast])*COUNT(INDEX(Data[Forecast],1):Data[[#This Row],[Forecast]])</f>
        <v>0</v>
      </c>
      <c r="F19" s="3">
        <f>Data[[#This Row],[Forecast]]+($F$3-$D$3)/COUNT(Data[Forecast])*COUNT(INDEX(Data[Forecast],1):Data[[#This Row],[Forecast]])</f>
        <v>0</v>
      </c>
      <c r="G19" s="3">
        <f>Data[[#This Row],[Actual]]+Data[[#This Row],[Min]]</f>
        <v>3.0158934252297875E-3</v>
      </c>
      <c r="H19" s="3">
        <f>(Data[[#This Row],[Max]]-Data[[#This Row],[Min]])/$H$3</f>
        <v>0</v>
      </c>
    </row>
    <row r="20" spans="1:8" ht="15.5" x14ac:dyDescent="0.35">
      <c r="A20" s="12">
        <f t="shared" si="0"/>
        <v>43831</v>
      </c>
      <c r="B20" s="14" cm="1">
        <f t="array" ref="B20">IF(Data[[#This Row],[Actual]]&lt;&gt;"",Data[[#This Row],[Actual]],ManArima($B$1,$B$2,$B$3,$B$7:$B19))</f>
        <v>7.6051340789629052E-4</v>
      </c>
      <c r="C20" s="14">
        <v>7.6051340789629052E-4</v>
      </c>
      <c r="D20" s="13"/>
      <c r="E20" s="3">
        <f>Data[[#This Row],[Forecast]]+($E$3-$D$3)/COUNT(Data[Forecast])*COUNT(INDEX(Data[Forecast],1):Data[[#This Row],[Forecast]])</f>
        <v>0</v>
      </c>
      <c r="F20" s="3">
        <f>Data[[#This Row],[Forecast]]+($F$3-$D$3)/COUNT(Data[Forecast])*COUNT(INDEX(Data[Forecast],1):Data[[#This Row],[Forecast]])</f>
        <v>0</v>
      </c>
      <c r="G20" s="3">
        <f>Data[[#This Row],[Actual]]+Data[[#This Row],[Min]]</f>
        <v>7.6051340789629052E-4</v>
      </c>
      <c r="H20" s="3">
        <f>(Data[[#This Row],[Max]]-Data[[#This Row],[Min]])/$H$3</f>
        <v>0</v>
      </c>
    </row>
    <row r="21" spans="1:8" ht="15.5" x14ac:dyDescent="0.35">
      <c r="A21" s="12">
        <f t="shared" si="0"/>
        <v>43862</v>
      </c>
      <c r="B21" s="14" cm="1">
        <f t="array" ref="B21">IF(Data[[#This Row],[Actual]]&lt;&gt;"",Data[[#This Row],[Actual]],ManArima($B$1,$B$2,$B$3,$B$7:$B20))</f>
        <v>-2.7605925356435357E-3</v>
      </c>
      <c r="C21" s="14">
        <v>-2.7605925356435357E-3</v>
      </c>
      <c r="D21" s="13"/>
      <c r="E21" s="3">
        <f>Data[[#This Row],[Forecast]]+($E$3-$D$3)/COUNT(Data[Forecast])*COUNT(INDEX(Data[Forecast],1):Data[[#This Row],[Forecast]])</f>
        <v>0</v>
      </c>
      <c r="F21" s="3">
        <f>Data[[#This Row],[Forecast]]+($F$3-$D$3)/COUNT(Data[Forecast])*COUNT(INDEX(Data[Forecast],1):Data[[#This Row],[Forecast]])</f>
        <v>0</v>
      </c>
      <c r="G21" s="3">
        <f>Data[[#This Row],[Actual]]+Data[[#This Row],[Min]]</f>
        <v>-2.7605925356435357E-3</v>
      </c>
      <c r="H21" s="3">
        <f>(Data[[#This Row],[Max]]-Data[[#This Row],[Min]])/$H$3</f>
        <v>0</v>
      </c>
    </row>
    <row r="22" spans="1:8" ht="15.5" x14ac:dyDescent="0.35">
      <c r="A22" s="12">
        <f t="shared" si="0"/>
        <v>43891</v>
      </c>
      <c r="B22" s="14" cm="1">
        <f t="array" ref="B22">IF(Data[[#This Row],[Actual]]&lt;&gt;"",Data[[#This Row],[Actual]],ManArima($B$1,$B$2,$B$3,$B$7:$B21))</f>
        <v>-2.9075500659316855E-3</v>
      </c>
      <c r="C22" s="14">
        <v>-2.9075500659316855E-3</v>
      </c>
      <c r="D22" s="13"/>
      <c r="E22" s="3">
        <f>Data[[#This Row],[Forecast]]+($E$3-$D$3)/COUNT(Data[Forecast])*COUNT(INDEX(Data[Forecast],1):Data[[#This Row],[Forecast]])</f>
        <v>0</v>
      </c>
      <c r="F22" s="3">
        <f>Data[[#This Row],[Forecast]]+($F$3-$D$3)/COUNT(Data[Forecast])*COUNT(INDEX(Data[Forecast],1):Data[[#This Row],[Forecast]])</f>
        <v>0</v>
      </c>
      <c r="G22" s="3">
        <f>Data[[#This Row],[Actual]]+Data[[#This Row],[Min]]</f>
        <v>-2.9075500659316855E-3</v>
      </c>
      <c r="H22" s="3">
        <f>(Data[[#This Row],[Max]]-Data[[#This Row],[Min]])/$H$3</f>
        <v>0</v>
      </c>
    </row>
    <row r="23" spans="1:8" ht="15.5" x14ac:dyDescent="0.35">
      <c r="A23" s="12">
        <f t="shared" si="0"/>
        <v>43922</v>
      </c>
      <c r="B23" s="14" cm="1">
        <f t="array" ref="B23">IF(Data[[#This Row],[Actual]]&lt;&gt;"",Data[[#This Row],[Actual]],ManArima($B$1,$B$2,$B$3,$B$7:$B22))</f>
        <v>1.2676476768234135E-3</v>
      </c>
      <c r="C23" s="14">
        <v>1.2676476768234135E-3</v>
      </c>
      <c r="D23" s="13"/>
      <c r="E23" s="3">
        <f>Data[[#This Row],[Forecast]]+($E$3-$D$3)/COUNT(Data[Forecast])*COUNT(INDEX(Data[Forecast],1):Data[[#This Row],[Forecast]])</f>
        <v>0</v>
      </c>
      <c r="F23" s="3">
        <f>Data[[#This Row],[Forecast]]+($F$3-$D$3)/COUNT(Data[Forecast])*COUNT(INDEX(Data[Forecast],1):Data[[#This Row],[Forecast]])</f>
        <v>0</v>
      </c>
      <c r="G23" s="3">
        <f>Data[[#This Row],[Actual]]+Data[[#This Row],[Min]]</f>
        <v>1.2676476768234135E-3</v>
      </c>
      <c r="H23" s="3">
        <f>(Data[[#This Row],[Max]]-Data[[#This Row],[Min]])/$H$3</f>
        <v>0</v>
      </c>
    </row>
    <row r="24" spans="1:8" ht="15.5" x14ac:dyDescent="0.35">
      <c r="A24" s="12">
        <f t="shared" si="0"/>
        <v>43952</v>
      </c>
      <c r="B24" s="14" cm="1">
        <f t="array" ref="B24">IF(Data[[#This Row],[Actual]]&lt;&gt;"",Data[[#This Row],[Actual]],ManArima($B$1,$B$2,$B$3,$B$7:$B23))</f>
        <v>3.672741038057703E-3</v>
      </c>
      <c r="C24" s="14">
        <v>3.672741038057703E-3</v>
      </c>
      <c r="D24" s="13"/>
      <c r="E24" s="3">
        <f>Data[[#This Row],[Forecast]]+($E$3-$D$3)/COUNT(Data[Forecast])*COUNT(INDEX(Data[Forecast],1):Data[[#This Row],[Forecast]])</f>
        <v>0</v>
      </c>
      <c r="F24" s="3">
        <f>Data[[#This Row],[Forecast]]+($F$3-$D$3)/COUNT(Data[Forecast])*COUNT(INDEX(Data[Forecast],1):Data[[#This Row],[Forecast]])</f>
        <v>0</v>
      </c>
      <c r="G24" s="3">
        <f>Data[[#This Row],[Actual]]+Data[[#This Row],[Min]]</f>
        <v>3.672741038057703E-3</v>
      </c>
      <c r="H24" s="3">
        <f>(Data[[#This Row],[Max]]-Data[[#This Row],[Min]])/$H$3</f>
        <v>0</v>
      </c>
    </row>
    <row r="25" spans="1:8" ht="15.5" x14ac:dyDescent="0.35">
      <c r="A25" s="12">
        <f t="shared" si="0"/>
        <v>43983</v>
      </c>
      <c r="B25" s="14" cm="1">
        <f t="array" ref="B25">IF(Data[[#This Row],[Actual]]&lt;&gt;"",Data[[#This Row],[Actual]],ManArima($B$1,$B$2,$B$3,$B$7:$B24))</f>
        <v>-2.7079952089601456E-3</v>
      </c>
      <c r="C25" s="14">
        <v>-2.7079952089601456E-3</v>
      </c>
      <c r="D25" s="13"/>
      <c r="E25" s="3">
        <f>Data[[#This Row],[Forecast]]+($E$3-$D$3)/COUNT(Data[Forecast])*COUNT(INDEX(Data[Forecast],1):Data[[#This Row],[Forecast]])</f>
        <v>0</v>
      </c>
      <c r="F25" s="3">
        <f>Data[[#This Row],[Forecast]]+($F$3-$D$3)/COUNT(Data[Forecast])*COUNT(INDEX(Data[Forecast],1):Data[[#This Row],[Forecast]])</f>
        <v>0</v>
      </c>
      <c r="G25" s="3">
        <f>Data[[#This Row],[Actual]]+Data[[#This Row],[Min]]</f>
        <v>-2.7079952089601456E-3</v>
      </c>
      <c r="H25" s="3">
        <f>(Data[[#This Row],[Max]]-Data[[#This Row],[Min]])/$H$3</f>
        <v>0</v>
      </c>
    </row>
    <row r="26" spans="1:8" ht="15.5" x14ac:dyDescent="0.35">
      <c r="A26" s="12">
        <f t="shared" si="0"/>
        <v>44013</v>
      </c>
      <c r="B26" s="14" cm="1">
        <f t="array" ref="B26">IF(Data[[#This Row],[Actual]]&lt;&gt;"",Data[[#This Row],[Actual]],ManArima($B$1,$B$2,$B$3,$B$7:$B25))</f>
        <v>2.4763145405624076E-3</v>
      </c>
      <c r="C26" s="14">
        <v>2.4763145405624076E-3</v>
      </c>
      <c r="D26" s="13"/>
      <c r="E26" s="3">
        <f>Data[[#This Row],[Forecast]]+($E$3-$D$3)/COUNT(Data[Forecast])*COUNT(INDEX(Data[Forecast],1):Data[[#This Row],[Forecast]])</f>
        <v>0</v>
      </c>
      <c r="F26" s="3">
        <f>Data[[#This Row],[Forecast]]+($F$3-$D$3)/COUNT(Data[Forecast])*COUNT(INDEX(Data[Forecast],1):Data[[#This Row],[Forecast]])</f>
        <v>0</v>
      </c>
      <c r="G26" s="3">
        <f>Data[[#This Row],[Actual]]+Data[[#This Row],[Min]]</f>
        <v>2.4763145405624076E-3</v>
      </c>
      <c r="H26" s="3">
        <f>(Data[[#This Row],[Max]]-Data[[#This Row],[Min]])/$H$3</f>
        <v>0</v>
      </c>
    </row>
    <row r="27" spans="1:8" ht="15.5" x14ac:dyDescent="0.35">
      <c r="A27" s="12">
        <f t="shared" si="0"/>
        <v>44044</v>
      </c>
      <c r="B27" s="14" cm="1">
        <f t="array" ref="B27">IF(Data[[#This Row],[Actual]]&lt;&gt;"",Data[[#This Row],[Actual]],ManArima($B$1,$B$2,$B$3,$B$7:$B26))</f>
        <v>-3.0464356897812461E-3</v>
      </c>
      <c r="C27" s="14">
        <v>-3.0464356897812461E-3</v>
      </c>
      <c r="D27" s="13"/>
      <c r="E27" s="3">
        <f>Data[[#This Row],[Forecast]]+($E$3-$D$3)/COUNT(Data[Forecast])*COUNT(INDEX(Data[Forecast],1):Data[[#This Row],[Forecast]])</f>
        <v>0</v>
      </c>
      <c r="F27" s="3">
        <f>Data[[#This Row],[Forecast]]+($F$3-$D$3)/COUNT(Data[Forecast])*COUNT(INDEX(Data[Forecast],1):Data[[#This Row],[Forecast]])</f>
        <v>0</v>
      </c>
      <c r="G27" s="3">
        <f>Data[[#This Row],[Actual]]+Data[[#This Row],[Min]]</f>
        <v>-3.0464356897812461E-3</v>
      </c>
      <c r="H27" s="3">
        <f>(Data[[#This Row],[Max]]-Data[[#This Row],[Min]])/$H$3</f>
        <v>0</v>
      </c>
    </row>
    <row r="28" spans="1:8" ht="15.5" x14ac:dyDescent="0.35">
      <c r="A28" s="12">
        <f t="shared" si="0"/>
        <v>44075</v>
      </c>
      <c r="B28" s="14" cm="1">
        <f t="array" ref="B28">IF(Data[[#This Row],[Actual]]&lt;&gt;"",Data[[#This Row],[Actual]],ManArima($B$1,$B$2,$B$3,$B$7:$B27))</f>
        <v>2.1942152215461697E-3</v>
      </c>
      <c r="C28" s="14">
        <v>2.1942152215461697E-3</v>
      </c>
      <c r="D28" s="13"/>
      <c r="E28" s="3">
        <f>Data[[#This Row],[Forecast]]+($E$3-$D$3)/COUNT(Data[Forecast])*COUNT(INDEX(Data[Forecast],1):Data[[#This Row],[Forecast]])</f>
        <v>0</v>
      </c>
      <c r="F28" s="3">
        <f>Data[[#This Row],[Forecast]]+($F$3-$D$3)/COUNT(Data[Forecast])*COUNT(INDEX(Data[Forecast],1):Data[[#This Row],[Forecast]])</f>
        <v>0</v>
      </c>
      <c r="G28" s="3">
        <f>Data[[#This Row],[Actual]]+Data[[#This Row],[Min]]</f>
        <v>2.1942152215461697E-3</v>
      </c>
      <c r="H28" s="3">
        <f>(Data[[#This Row],[Max]]-Data[[#This Row],[Min]])/$H$3</f>
        <v>0</v>
      </c>
    </row>
    <row r="29" spans="1:8" ht="15.5" x14ac:dyDescent="0.35">
      <c r="A29" s="12">
        <f t="shared" si="0"/>
        <v>44105</v>
      </c>
      <c r="B29" s="14" cm="1">
        <f t="array" ref="B29">IF(Data[[#This Row],[Actual]]&lt;&gt;"",Data[[#This Row],[Actual]],ManArima($B$1,$B$2,$B$3,$B$7:$B28))</f>
        <v>6.9059060167511177E-3</v>
      </c>
      <c r="C29" s="14">
        <v>6.9059060167511177E-3</v>
      </c>
      <c r="D29" s="13"/>
      <c r="E29" s="3">
        <f>Data[[#This Row],[Forecast]]+($E$3-$D$3)/COUNT(Data[Forecast])*COUNT(INDEX(Data[Forecast],1):Data[[#This Row],[Forecast]])</f>
        <v>0</v>
      </c>
      <c r="F29" s="3">
        <f>Data[[#This Row],[Forecast]]+($F$3-$D$3)/COUNT(Data[Forecast])*COUNT(INDEX(Data[Forecast],1):Data[[#This Row],[Forecast]])</f>
        <v>0</v>
      </c>
      <c r="G29" s="3">
        <f>Data[[#This Row],[Actual]]+Data[[#This Row],[Min]]</f>
        <v>6.9059060167511177E-3</v>
      </c>
      <c r="H29" s="3">
        <f>(Data[[#This Row],[Max]]-Data[[#This Row],[Min]])/$H$3</f>
        <v>0</v>
      </c>
    </row>
    <row r="30" spans="1:8" ht="15.5" x14ac:dyDescent="0.35">
      <c r="A30" s="12">
        <f t="shared" si="0"/>
        <v>44136</v>
      </c>
      <c r="B30" s="14" cm="1">
        <f t="array" ref="B30">IF(Data[[#This Row],[Actual]]&lt;&gt;"",Data[[#This Row],[Actual]],ManArima($B$1,$B$2,$B$3,$B$7:$B29))</f>
        <v>7.8507238762965947E-3</v>
      </c>
      <c r="C30" s="14">
        <v>7.8507238762965947E-3</v>
      </c>
      <c r="D30" s="13"/>
      <c r="E30" s="3">
        <f>Data[[#This Row],[Forecast]]+($E$3-$D$3)/COUNT(Data[Forecast])*COUNT(INDEX(Data[Forecast],1):Data[[#This Row],[Forecast]])</f>
        <v>0</v>
      </c>
      <c r="F30" s="3">
        <f>Data[[#This Row],[Forecast]]+($F$3-$D$3)/COUNT(Data[Forecast])*COUNT(INDEX(Data[Forecast],1):Data[[#This Row],[Forecast]])</f>
        <v>0</v>
      </c>
      <c r="G30" s="3">
        <f>Data[[#This Row],[Actual]]+Data[[#This Row],[Min]]</f>
        <v>7.8507238762965947E-3</v>
      </c>
      <c r="H30" s="3">
        <f>(Data[[#This Row],[Max]]-Data[[#This Row],[Min]])/$H$3</f>
        <v>0</v>
      </c>
    </row>
    <row r="31" spans="1:8" ht="15.5" x14ac:dyDescent="0.35">
      <c r="A31" s="12">
        <f t="shared" si="0"/>
        <v>44166</v>
      </c>
      <c r="B31" s="14" cm="1">
        <f t="array" ref="B31">IF(Data[[#This Row],[Actual]]&lt;&gt;"",Data[[#This Row],[Actual]],ManArima($B$1,$B$2,$B$3,$B$7:$B30))</f>
        <v>-1.7373280968800975E-3</v>
      </c>
      <c r="C31" s="14">
        <v>-1.7373280968800975E-3</v>
      </c>
      <c r="D31" s="13"/>
      <c r="E31" s="3">
        <f>Data[[#This Row],[Forecast]]+($E$3-$D$3)/COUNT(Data[Forecast])*COUNT(INDEX(Data[Forecast],1):Data[[#This Row],[Forecast]])</f>
        <v>0</v>
      </c>
      <c r="F31" s="3">
        <f>Data[[#This Row],[Forecast]]+($F$3-$D$3)/COUNT(Data[Forecast])*COUNT(INDEX(Data[Forecast],1):Data[[#This Row],[Forecast]])</f>
        <v>0</v>
      </c>
      <c r="G31" s="3">
        <f>Data[[#This Row],[Actual]]+Data[[#This Row],[Min]]</f>
        <v>-1.7373280968800975E-3</v>
      </c>
      <c r="H31" s="3">
        <f>(Data[[#This Row],[Max]]-Data[[#This Row],[Min]])/$H$3</f>
        <v>0</v>
      </c>
    </row>
    <row r="32" spans="1:8" ht="15.5" x14ac:dyDescent="0.35">
      <c r="A32" s="12">
        <f t="shared" si="0"/>
        <v>44197</v>
      </c>
      <c r="B32" s="14" cm="1">
        <f t="array" ref="B32">IF(Data[[#This Row],[Actual]]&lt;&gt;"",Data[[#This Row],[Actual]],ManArima($B$1,$B$2,$B$3,$B$7:$B31))</f>
        <v>5.2586721566194594E-3</v>
      </c>
      <c r="C32" s="14">
        <v>5.2586721566194594E-3</v>
      </c>
      <c r="D32" s="13"/>
      <c r="E32" s="3">
        <f>Data[[#This Row],[Forecast]]+($E$3-$D$3)/COUNT(Data[Forecast])*COUNT(INDEX(Data[Forecast],1):Data[[#This Row],[Forecast]])</f>
        <v>0</v>
      </c>
      <c r="F32" s="3">
        <f>Data[[#This Row],[Forecast]]+($F$3-$D$3)/COUNT(Data[Forecast])*COUNT(INDEX(Data[Forecast],1):Data[[#This Row],[Forecast]])</f>
        <v>0</v>
      </c>
      <c r="G32" s="3">
        <f>Data[[#This Row],[Actual]]+Data[[#This Row],[Min]]</f>
        <v>5.2586721566194594E-3</v>
      </c>
      <c r="H32" s="3">
        <f>(Data[[#This Row],[Max]]-Data[[#This Row],[Min]])/$H$3</f>
        <v>0</v>
      </c>
    </row>
    <row r="33" spans="1:8" ht="15.5" x14ac:dyDescent="0.35">
      <c r="A33" s="12">
        <f t="shared" si="0"/>
        <v>44228</v>
      </c>
      <c r="B33" s="14" cm="1">
        <f t="array" ref="B33">IF(Data[[#This Row],[Actual]]&lt;&gt;"",Data[[#This Row],[Actual]],ManArima($B$1,$B$2,$B$3,$B$7:$B32))</f>
        <v>8.8475779951302513E-4</v>
      </c>
      <c r="C33" s="14">
        <v>8.8475779951302513E-4</v>
      </c>
      <c r="D33" s="13"/>
      <c r="E33" s="3">
        <f>Data[[#This Row],[Forecast]]+($E$3-$D$3)/COUNT(Data[Forecast])*COUNT(INDEX(Data[Forecast],1):Data[[#This Row],[Forecast]])</f>
        <v>0</v>
      </c>
      <c r="F33" s="3">
        <f>Data[[#This Row],[Forecast]]+($F$3-$D$3)/COUNT(Data[Forecast])*COUNT(INDEX(Data[Forecast],1):Data[[#This Row],[Forecast]])</f>
        <v>0</v>
      </c>
      <c r="G33" s="3">
        <f>Data[[#This Row],[Actual]]+Data[[#This Row],[Min]]</f>
        <v>8.8475779951302513E-4</v>
      </c>
      <c r="H33" s="3">
        <f>(Data[[#This Row],[Max]]-Data[[#This Row],[Min]])/$H$3</f>
        <v>0</v>
      </c>
    </row>
    <row r="34" spans="1:8" ht="15.5" x14ac:dyDescent="0.35">
      <c r="A34" s="12">
        <f t="shared" si="0"/>
        <v>44256</v>
      </c>
      <c r="B34" s="14" cm="1">
        <f t="array" ref="B34">IF(Data[[#This Row],[Actual]]&lt;&gt;"",Data[[#This Row],[Actual]],ManArima($B$1,$B$2,$B$3,$B$7:$B33))</f>
        <v>-1.7500489349920878E-3</v>
      </c>
      <c r="C34" s="14">
        <v>-1.7500489349920878E-3</v>
      </c>
      <c r="D34" s="13"/>
      <c r="E34" s="3">
        <f>Data[[#This Row],[Forecast]]+($E$3-$D$3)/COUNT(Data[Forecast])*COUNT(INDEX(Data[Forecast],1):Data[[#This Row],[Forecast]])</f>
        <v>0</v>
      </c>
      <c r="F34" s="3">
        <f>Data[[#This Row],[Forecast]]+($F$3-$D$3)/COUNT(Data[Forecast])*COUNT(INDEX(Data[Forecast],1):Data[[#This Row],[Forecast]])</f>
        <v>0</v>
      </c>
      <c r="G34" s="3">
        <f>Data[[#This Row],[Actual]]+Data[[#This Row],[Min]]</f>
        <v>-1.7500489349920878E-3</v>
      </c>
      <c r="H34" s="3">
        <f>(Data[[#This Row],[Max]]-Data[[#This Row],[Min]])/$H$3</f>
        <v>0</v>
      </c>
    </row>
    <row r="35" spans="1:8" ht="15.5" x14ac:dyDescent="0.35">
      <c r="A35" s="12">
        <f t="shared" si="0"/>
        <v>44287</v>
      </c>
      <c r="B35" s="14" cm="1">
        <f t="array" ref="B35">IF(Data[[#This Row],[Actual]]&lt;&gt;"",Data[[#This Row],[Actual]],ManArima($B$1,$B$2,$B$3,$B$7:$B34))</f>
        <v>8.8941146354393208E-3</v>
      </c>
      <c r="C35" s="14">
        <v>8.8941146354393208E-3</v>
      </c>
      <c r="D35" s="13"/>
      <c r="E35" s="3">
        <f>Data[[#This Row],[Forecast]]+($E$3-$D$3)/COUNT(Data[Forecast])*COUNT(INDEX(Data[Forecast],1):Data[[#This Row],[Forecast]])</f>
        <v>0</v>
      </c>
      <c r="F35" s="3">
        <f>Data[[#This Row],[Forecast]]+($F$3-$D$3)/COUNT(Data[Forecast])*COUNT(INDEX(Data[Forecast],1):Data[[#This Row],[Forecast]])</f>
        <v>0</v>
      </c>
      <c r="G35" s="3">
        <f>Data[[#This Row],[Actual]]+Data[[#This Row],[Min]]</f>
        <v>8.8941146354393208E-3</v>
      </c>
      <c r="H35" s="3">
        <f>(Data[[#This Row],[Max]]-Data[[#This Row],[Min]])/$H$3</f>
        <v>0</v>
      </c>
    </row>
    <row r="36" spans="1:8" ht="15.5" x14ac:dyDescent="0.35">
      <c r="A36" s="12">
        <f t="shared" si="0"/>
        <v>44317</v>
      </c>
      <c r="B36" s="14" cm="1">
        <f t="array" ref="B36">IF(Data[[#This Row],[Actual]]&lt;&gt;"",Data[[#This Row],[Actual]],ManArima($B$1,$B$2,$B$3,$B$7:$B35))</f>
        <v>-3.4685393219540117E-3</v>
      </c>
      <c r="C36" s="14">
        <v>-3.4685393219540117E-3</v>
      </c>
      <c r="D36" s="13"/>
      <c r="E36" s="3">
        <f>Data[[#This Row],[Forecast]]+($E$3-$D$3)/COUNT(Data[Forecast])*COUNT(INDEX(Data[Forecast],1):Data[[#This Row],[Forecast]])</f>
        <v>0</v>
      </c>
      <c r="F36" s="3">
        <f>Data[[#This Row],[Forecast]]+($F$3-$D$3)/COUNT(Data[Forecast])*COUNT(INDEX(Data[Forecast],1):Data[[#This Row],[Forecast]])</f>
        <v>0</v>
      </c>
      <c r="G36" s="3">
        <f>Data[[#This Row],[Actual]]+Data[[#This Row],[Min]]</f>
        <v>-3.4685393219540117E-3</v>
      </c>
      <c r="H36" s="3">
        <f>(Data[[#This Row],[Max]]-Data[[#This Row],[Min]])/$H$3</f>
        <v>0</v>
      </c>
    </row>
    <row r="37" spans="1:8" ht="15.5" x14ac:dyDescent="0.35">
      <c r="A37" s="12">
        <f t="shared" si="0"/>
        <v>44348</v>
      </c>
      <c r="B37" s="14" cm="1">
        <f t="array" ref="B37">IF(Data[[#This Row],[Actual]]&lt;&gt;"",Data[[#This Row],[Actual]],ManArima($B$1,$B$2,$B$3,$B$7:$B36))</f>
        <v>1.7300231693495594E-3</v>
      </c>
      <c r="C37" s="14">
        <v>1.7300231693495594E-3</v>
      </c>
      <c r="D37" s="13"/>
      <c r="E37" s="3">
        <f>Data[[#This Row],[Forecast]]+($E$3-$D$3)/COUNT(Data[Forecast])*COUNT(INDEX(Data[Forecast],1):Data[[#This Row],[Forecast]])</f>
        <v>0</v>
      </c>
      <c r="F37" s="3">
        <f>Data[[#This Row],[Forecast]]+($F$3-$D$3)/COUNT(Data[Forecast])*COUNT(INDEX(Data[Forecast],1):Data[[#This Row],[Forecast]])</f>
        <v>0</v>
      </c>
      <c r="G37" s="3">
        <f>Data[[#This Row],[Actual]]+Data[[#This Row],[Min]]</f>
        <v>1.7300231693495594E-3</v>
      </c>
      <c r="H37" s="3">
        <f>(Data[[#This Row],[Max]]-Data[[#This Row],[Min]])/$H$3</f>
        <v>0</v>
      </c>
    </row>
    <row r="38" spans="1:8" ht="15.5" x14ac:dyDescent="0.35">
      <c r="A38" s="12">
        <f t="shared" si="0"/>
        <v>44378</v>
      </c>
      <c r="B38" s="14" cm="1">
        <f t="array" ref="B38">IF(Data[[#This Row],[Actual]]&lt;&gt;"",Data[[#This Row],[Actual]],ManArima($B$1,$B$2,$B$3,$B$7:$B37))</f>
        <v>-8.8231083440504232E-4</v>
      </c>
      <c r="C38" s="14">
        <v>-8.8231083440504232E-4</v>
      </c>
      <c r="D38" s="13"/>
      <c r="E38" s="3">
        <f>Data[[#This Row],[Forecast]]+($E$3-$D$3)/COUNT(Data[Forecast])*COUNT(INDEX(Data[Forecast],1):Data[[#This Row],[Forecast]])</f>
        <v>0</v>
      </c>
      <c r="F38" s="3">
        <f>Data[[#This Row],[Forecast]]+($F$3-$D$3)/COUNT(Data[Forecast])*COUNT(INDEX(Data[Forecast],1):Data[[#This Row],[Forecast]])</f>
        <v>0</v>
      </c>
      <c r="G38" s="3">
        <f>Data[[#This Row],[Actual]]+Data[[#This Row],[Min]]</f>
        <v>-8.8231083440504232E-4</v>
      </c>
      <c r="H38" s="3">
        <f>(Data[[#This Row],[Max]]-Data[[#This Row],[Min]])/$H$3</f>
        <v>0</v>
      </c>
    </row>
    <row r="39" spans="1:8" ht="15.5" x14ac:dyDescent="0.35">
      <c r="A39" s="12">
        <f t="shared" si="0"/>
        <v>44409</v>
      </c>
      <c r="B39" s="14" cm="1">
        <f t="array" ref="B39">IF(Data[[#This Row],[Actual]]&lt;&gt;"",Data[[#This Row],[Actual]],ManArima($B$1,$B$2,$B$3,$B$7:$B38))</f>
        <v>-5.1282423222831497E-4</v>
      </c>
      <c r="C39" s="14">
        <v>-5.1282423222831497E-4</v>
      </c>
      <c r="D39" s="13"/>
      <c r="E39" s="3">
        <f>Data[[#This Row],[Forecast]]+($E$3-$D$3)/COUNT(Data[Forecast])*COUNT(INDEX(Data[Forecast],1):Data[[#This Row],[Forecast]])</f>
        <v>0</v>
      </c>
      <c r="F39" s="3">
        <f>Data[[#This Row],[Forecast]]+($F$3-$D$3)/COUNT(Data[Forecast])*COUNT(INDEX(Data[Forecast],1):Data[[#This Row],[Forecast]])</f>
        <v>0</v>
      </c>
      <c r="G39" s="3">
        <f>Data[[#This Row],[Actual]]+Data[[#This Row],[Min]]</f>
        <v>-5.1282423222831497E-4</v>
      </c>
      <c r="H39" s="3">
        <f>(Data[[#This Row],[Max]]-Data[[#This Row],[Min]])/$H$3</f>
        <v>0</v>
      </c>
    </row>
    <row r="40" spans="1:8" ht="15.5" x14ac:dyDescent="0.35">
      <c r="A40" s="12">
        <f t="shared" si="0"/>
        <v>44440</v>
      </c>
      <c r="B40" s="14" cm="1">
        <f t="array" ref="B40">IF(Data[[#This Row],[Actual]]&lt;&gt;"",Data[[#This Row],[Actual]],ManArima($B$1,$B$2,$B$3,$B$7:$B39))</f>
        <v>3.4593585116797776E-3</v>
      </c>
      <c r="C40" s="14">
        <v>3.4593585116797776E-3</v>
      </c>
      <c r="D40" s="13"/>
      <c r="E40" s="3">
        <f>Data[[#This Row],[Forecast]]+($E$3-$D$3)/COUNT(Data[Forecast])*COUNT(INDEX(Data[Forecast],1):Data[[#This Row],[Forecast]])</f>
        <v>0</v>
      </c>
      <c r="F40" s="3">
        <f>Data[[#This Row],[Forecast]]+($F$3-$D$3)/COUNT(Data[Forecast])*COUNT(INDEX(Data[Forecast],1):Data[[#This Row],[Forecast]])</f>
        <v>0</v>
      </c>
      <c r="G40" s="3">
        <f>Data[[#This Row],[Actual]]+Data[[#This Row],[Min]]</f>
        <v>3.4593585116797776E-3</v>
      </c>
      <c r="H40" s="3">
        <f>(Data[[#This Row],[Max]]-Data[[#This Row],[Min]])/$H$3</f>
        <v>0</v>
      </c>
    </row>
    <row r="41" spans="1:8" ht="15.5" x14ac:dyDescent="0.35">
      <c r="A41" s="12">
        <f t="shared" si="0"/>
        <v>44470</v>
      </c>
      <c r="B41" s="14" cm="1">
        <f t="array" ref="B41">IF(Data[[#This Row],[Actual]]&lt;&gt;"",Data[[#This Row],[Actual]],ManArima($B$1,$B$2,$B$3,$B$7:$B40))</f>
        <v>5.7939139606273393E-3</v>
      </c>
      <c r="C41" s="14">
        <v>5.7939139606273393E-3</v>
      </c>
      <c r="D41" s="13"/>
      <c r="E41" s="3">
        <f>Data[[#This Row],[Forecast]]+($E$3-$D$3)/COUNT(Data[Forecast])*COUNT(INDEX(Data[Forecast],1):Data[[#This Row],[Forecast]])</f>
        <v>0</v>
      </c>
      <c r="F41" s="3">
        <f>Data[[#This Row],[Forecast]]+($F$3-$D$3)/COUNT(Data[Forecast])*COUNT(INDEX(Data[Forecast],1):Data[[#This Row],[Forecast]])</f>
        <v>0</v>
      </c>
      <c r="G41" s="3">
        <f>Data[[#This Row],[Actual]]+Data[[#This Row],[Min]]</f>
        <v>5.7939139606273393E-3</v>
      </c>
      <c r="H41" s="3">
        <f>(Data[[#This Row],[Max]]-Data[[#This Row],[Min]])/$H$3</f>
        <v>0</v>
      </c>
    </row>
    <row r="42" spans="1:8" ht="15.5" x14ac:dyDescent="0.35">
      <c r="A42" s="12">
        <f t="shared" si="0"/>
        <v>44501</v>
      </c>
      <c r="B42" s="14" cm="1">
        <f t="array" ref="B42">IF(Data[[#This Row],[Actual]]&lt;&gt;"",Data[[#This Row],[Actual]],ManArima($B$1,$B$2,$B$3,$B$7:$B41))</f>
        <v>7.5879019388076507E-3</v>
      </c>
      <c r="C42" s="14">
        <v>7.5879019388076507E-3</v>
      </c>
      <c r="D42" s="13"/>
      <c r="E42" s="3">
        <f>Data[[#This Row],[Forecast]]+($E$3-$D$3)/COUNT(Data[Forecast])*COUNT(INDEX(Data[Forecast],1):Data[[#This Row],[Forecast]])</f>
        <v>0</v>
      </c>
      <c r="F42" s="3">
        <f>Data[[#This Row],[Forecast]]+($F$3-$D$3)/COUNT(Data[Forecast])*COUNT(INDEX(Data[Forecast],1):Data[[#This Row],[Forecast]])</f>
        <v>0</v>
      </c>
      <c r="G42" s="3">
        <f>Data[[#This Row],[Actual]]+Data[[#This Row],[Min]]</f>
        <v>7.5879019388076507E-3</v>
      </c>
      <c r="H42" s="3">
        <f>(Data[[#This Row],[Max]]-Data[[#This Row],[Min]])/$H$3</f>
        <v>0</v>
      </c>
    </row>
    <row r="43" spans="1:8" ht="15.5" x14ac:dyDescent="0.35">
      <c r="A43" s="12">
        <f t="shared" si="0"/>
        <v>44531</v>
      </c>
      <c r="B43" s="14" cm="1">
        <f t="array" ref="B43">IF(Data[[#This Row],[Actual]]&lt;&gt;"",Data[[#This Row],[Actual]],ManArima($B$1,$B$2,$B$3,$B$7:$B42))</f>
        <v>9.8218481931344748E-3</v>
      </c>
      <c r="C43" s="14">
        <v>9.8218481931344748E-3</v>
      </c>
      <c r="D43" s="13"/>
      <c r="E43" s="3">
        <f>Data[[#This Row],[Forecast]]+($E$3-$D$3)/COUNT(Data[Forecast])*COUNT(INDEX(Data[Forecast],1):Data[[#This Row],[Forecast]])</f>
        <v>0</v>
      </c>
      <c r="F43" s="3">
        <f>Data[[#This Row],[Forecast]]+($F$3-$D$3)/COUNT(Data[Forecast])*COUNT(INDEX(Data[Forecast],1):Data[[#This Row],[Forecast]])</f>
        <v>0</v>
      </c>
      <c r="G43" s="3">
        <f>Data[[#This Row],[Actual]]+Data[[#This Row],[Min]]</f>
        <v>9.8218481931344748E-3</v>
      </c>
      <c r="H43" s="3">
        <f>(Data[[#This Row],[Max]]-Data[[#This Row],[Min]])/$H$3</f>
        <v>0</v>
      </c>
    </row>
    <row r="44" spans="1:8" ht="15.5" x14ac:dyDescent="0.35">
      <c r="A44" s="12">
        <f t="shared" si="0"/>
        <v>44562</v>
      </c>
      <c r="B44" s="14" cm="1">
        <f t="array" ref="B44">IF(Data[[#This Row],[Actual]]&lt;&gt;"",Data[[#This Row],[Actual]],ManArima($B$1,$B$2,$B$3,$B$7:$B43))</f>
        <v>-3.915208672400361E-3</v>
      </c>
      <c r="C44" s="14">
        <v>-3.915208672400361E-3</v>
      </c>
      <c r="D44" s="13"/>
      <c r="E44" s="3">
        <f>Data[[#This Row],[Forecast]]+($E$3-$D$3)/COUNT(Data[Forecast])*COUNT(INDEX(Data[Forecast],1):Data[[#This Row],[Forecast]])</f>
        <v>0</v>
      </c>
      <c r="F44" s="3">
        <f>Data[[#This Row],[Forecast]]+($F$3-$D$3)/COUNT(Data[Forecast])*COUNT(INDEX(Data[Forecast],1):Data[[#This Row],[Forecast]])</f>
        <v>0</v>
      </c>
      <c r="G44" s="3">
        <f>Data[[#This Row],[Actual]]+Data[[#This Row],[Min]]</f>
        <v>-3.915208672400361E-3</v>
      </c>
      <c r="H44" s="3">
        <f>(Data[[#This Row],[Max]]-Data[[#This Row],[Min]])/$H$3</f>
        <v>0</v>
      </c>
    </row>
    <row r="45" spans="1:8" ht="15.5" x14ac:dyDescent="0.35">
      <c r="A45" s="12">
        <f t="shared" si="0"/>
        <v>44593</v>
      </c>
      <c r="B45" s="14" cm="1">
        <f t="array" ref="B45">IF(Data[[#This Row],[Actual]]&lt;&gt;"",Data[[#This Row],[Actual]],ManArima($B$1,$B$2,$B$3,$B$7:$B44))</f>
        <v>9.2856399612202267E-3</v>
      </c>
      <c r="C45" s="14">
        <v>9.2856399612202267E-3</v>
      </c>
      <c r="D45" s="13"/>
      <c r="E45" s="3">
        <f>Data[[#This Row],[Forecast]]+($E$3-$D$3)/COUNT(Data[Forecast])*COUNT(INDEX(Data[Forecast],1):Data[[#This Row],[Forecast]])</f>
        <v>0</v>
      </c>
      <c r="F45" s="3">
        <f>Data[[#This Row],[Forecast]]+($F$3-$D$3)/COUNT(Data[Forecast])*COUNT(INDEX(Data[Forecast],1):Data[[#This Row],[Forecast]])</f>
        <v>0</v>
      </c>
      <c r="G45" s="3">
        <f>Data[[#This Row],[Actual]]+Data[[#This Row],[Min]]</f>
        <v>9.2856399612202267E-3</v>
      </c>
      <c r="H45" s="3">
        <f>(Data[[#This Row],[Max]]-Data[[#This Row],[Min]])/$H$3</f>
        <v>0</v>
      </c>
    </row>
    <row r="46" spans="1:8" ht="15.5" x14ac:dyDescent="0.35">
      <c r="A46" s="12">
        <f t="shared" si="0"/>
        <v>44621</v>
      </c>
      <c r="B46" s="14" cm="1">
        <f t="array" ref="B46">IF(Data[[#This Row],[Actual]]&lt;&gt;"",Data[[#This Row],[Actual]],ManArima($B$1,$B$2,$B$3,$B$7:$B45))</f>
        <v>1.1479474848938409E-2</v>
      </c>
      <c r="C46" s="14">
        <v>1.1479474848938409E-2</v>
      </c>
      <c r="D46" s="13"/>
      <c r="E46" s="3">
        <f>Data[[#This Row],[Forecast]]+($E$3-$D$3)/COUNT(Data[Forecast])*COUNT(INDEX(Data[Forecast],1):Data[[#This Row],[Forecast]])</f>
        <v>0</v>
      </c>
      <c r="F46" s="3">
        <f>Data[[#This Row],[Forecast]]+($F$3-$D$3)/COUNT(Data[Forecast])*COUNT(INDEX(Data[Forecast],1):Data[[#This Row],[Forecast]])</f>
        <v>0</v>
      </c>
      <c r="G46" s="3">
        <f>Data[[#This Row],[Actual]]+Data[[#This Row],[Min]]</f>
        <v>1.1479474848938409E-2</v>
      </c>
      <c r="H46" s="3">
        <f>(Data[[#This Row],[Max]]-Data[[#This Row],[Min]])/$H$3</f>
        <v>0</v>
      </c>
    </row>
    <row r="47" spans="1:8" ht="15.5" x14ac:dyDescent="0.35">
      <c r="A47" s="12">
        <f t="shared" si="0"/>
        <v>44652</v>
      </c>
      <c r="B47" s="14" cm="1">
        <f t="array" ref="B47">IF(Data[[#This Row],[Actual]]&lt;&gt;"",Data[[#This Row],[Actual]],ManArima($B$1,$B$2,$B$3,$B$7:$B46))</f>
        <v>6.4896185287550701E-3</v>
      </c>
      <c r="C47" s="14">
        <v>6.4896185287550701E-3</v>
      </c>
      <c r="D47" s="13"/>
      <c r="E47" s="3">
        <f>Data[[#This Row],[Forecast]]+($E$3-$D$3)/COUNT(Data[Forecast])*COUNT(INDEX(Data[Forecast],1):Data[[#This Row],[Forecast]])</f>
        <v>0</v>
      </c>
      <c r="F47" s="3">
        <f>Data[[#This Row],[Forecast]]+($F$3-$D$3)/COUNT(Data[Forecast])*COUNT(INDEX(Data[Forecast],1):Data[[#This Row],[Forecast]])</f>
        <v>0</v>
      </c>
      <c r="G47" s="3">
        <f>Data[[#This Row],[Actual]]+Data[[#This Row],[Min]]</f>
        <v>6.4896185287550701E-3</v>
      </c>
      <c r="H47" s="3">
        <f>(Data[[#This Row],[Max]]-Data[[#This Row],[Min]])/$H$3</f>
        <v>0</v>
      </c>
    </row>
    <row r="48" spans="1:8" ht="15.5" x14ac:dyDescent="0.35">
      <c r="A48" s="12">
        <f t="shared" si="0"/>
        <v>44682</v>
      </c>
      <c r="B48" s="14" cm="1">
        <f t="array" ref="B48">IF(Data[[#This Row],[Actual]]&lt;&gt;"",Data[[#This Row],[Actual]],ManArima($B$1,$B$2,$B$3,$B$7:$B47))</f>
        <v>7.7508397119807615E-3</v>
      </c>
      <c r="C48" s="14">
        <v>7.7508397119807615E-3</v>
      </c>
      <c r="D48" s="13"/>
      <c r="E48" s="3">
        <f>Data[[#This Row],[Forecast]]+($E$3-$D$3)/COUNT(Data[Forecast])*COUNT(INDEX(Data[Forecast],1):Data[[#This Row],[Forecast]])</f>
        <v>0</v>
      </c>
      <c r="F48" s="3">
        <f>Data[[#This Row],[Forecast]]+($F$3-$D$3)/COUNT(Data[Forecast])*COUNT(INDEX(Data[Forecast],1):Data[[#This Row],[Forecast]])</f>
        <v>0</v>
      </c>
      <c r="G48" s="3">
        <f>Data[[#This Row],[Actual]]+Data[[#This Row],[Min]]</f>
        <v>7.7508397119807615E-3</v>
      </c>
      <c r="H48" s="3">
        <f>(Data[[#This Row],[Max]]-Data[[#This Row],[Min]])/$H$3</f>
        <v>0</v>
      </c>
    </row>
    <row r="49" spans="1:8" ht="15.5" x14ac:dyDescent="0.35">
      <c r="A49" s="12">
        <f t="shared" si="0"/>
        <v>44713</v>
      </c>
      <c r="B49" s="14" cm="1">
        <f t="array" ref="B49">IF(Data[[#This Row],[Actual]]&lt;&gt;"",Data[[#This Row],[Actual]],ManArima($B$1,$B$2,$B$3,$B$7:$B48))</f>
        <v>3.5790332995919716E-3</v>
      </c>
      <c r="C49" s="14">
        <v>3.5790332995919716E-3</v>
      </c>
      <c r="D49" s="13"/>
      <c r="E49" s="3">
        <f>Data[[#This Row],[Forecast]]+($E$3-$D$3)/COUNT(Data[Forecast])*COUNT(INDEX(Data[Forecast],1):Data[[#This Row],[Forecast]])</f>
        <v>0</v>
      </c>
      <c r="F49" s="3">
        <f>Data[[#This Row],[Forecast]]+($F$3-$D$3)/COUNT(Data[Forecast])*COUNT(INDEX(Data[Forecast],1):Data[[#This Row],[Forecast]])</f>
        <v>0</v>
      </c>
      <c r="G49" s="3">
        <f>Data[[#This Row],[Actual]]+Data[[#This Row],[Min]]</f>
        <v>3.5790332995919716E-3</v>
      </c>
      <c r="H49" s="3">
        <f>(Data[[#This Row],[Max]]-Data[[#This Row],[Min]])/$H$3</f>
        <v>0</v>
      </c>
    </row>
    <row r="50" spans="1:8" ht="15.5" x14ac:dyDescent="0.35">
      <c r="A50" s="12">
        <f t="shared" si="0"/>
        <v>44743</v>
      </c>
      <c r="B50" s="14" cm="1">
        <f t="array" ref="B50">IF(Data[[#This Row],[Actual]]&lt;&gt;"",Data[[#This Row],[Actual]],ManArima($B$1,$B$2,$B$3,$B$7:$B49))</f>
        <v>-4.1589680266170825E-3</v>
      </c>
      <c r="C50" s="14">
        <v>-4.1589680266170825E-3</v>
      </c>
      <c r="D50" s="13"/>
      <c r="E50" s="3">
        <f>Data[[#This Row],[Forecast]]+($E$3-$D$3)/COUNT(Data[Forecast])*COUNT(INDEX(Data[Forecast],1):Data[[#This Row],[Forecast]])</f>
        <v>0</v>
      </c>
      <c r="F50" s="3">
        <f>Data[[#This Row],[Forecast]]+($F$3-$D$3)/COUNT(Data[Forecast])*COUNT(INDEX(Data[Forecast],1):Data[[#This Row],[Forecast]])</f>
        <v>0</v>
      </c>
      <c r="G50" s="3">
        <f>Data[[#This Row],[Actual]]+Data[[#This Row],[Min]]</f>
        <v>-4.1589680266170825E-3</v>
      </c>
      <c r="H50" s="3">
        <f>(Data[[#This Row],[Max]]-Data[[#This Row],[Min]])/$H$3</f>
        <v>0</v>
      </c>
    </row>
    <row r="51" spans="1:8" ht="15.5" x14ac:dyDescent="0.35">
      <c r="A51" s="12">
        <f t="shared" si="0"/>
        <v>44774</v>
      </c>
      <c r="B51" s="14" cm="1">
        <f t="array" ref="B51">IF(Data[[#This Row],[Actual]]&lt;&gt;"",Data[[#This Row],[Actual]],ManArima($B$1,$B$2,$B$3,$B$7:$B50))</f>
        <v>1.4150766082445365E-2</v>
      </c>
      <c r="C51" s="14">
        <v>1.4150766082445365E-2</v>
      </c>
      <c r="D51" s="13"/>
      <c r="E51" s="3">
        <f>Data[[#This Row],[Forecast]]+($E$3-$D$3)/COUNT(Data[Forecast])*COUNT(INDEX(Data[Forecast],1):Data[[#This Row],[Forecast]])</f>
        <v>0</v>
      </c>
      <c r="F51" s="3">
        <f>Data[[#This Row],[Forecast]]+($F$3-$D$3)/COUNT(Data[Forecast])*COUNT(INDEX(Data[Forecast],1):Data[[#This Row],[Forecast]])</f>
        <v>0</v>
      </c>
      <c r="G51" s="3">
        <f>Data[[#This Row],[Actual]]+Data[[#This Row],[Min]]</f>
        <v>1.4150766082445365E-2</v>
      </c>
      <c r="H51" s="3">
        <f>(Data[[#This Row],[Max]]-Data[[#This Row],[Min]])/$H$3</f>
        <v>0</v>
      </c>
    </row>
    <row r="52" spans="1:8" ht="15.5" x14ac:dyDescent="0.35">
      <c r="A52" s="12">
        <f t="shared" si="0"/>
        <v>44805</v>
      </c>
      <c r="B52" s="14" cm="1">
        <f t="array" ref="B52">IF(Data[[#This Row],[Actual]]&lt;&gt;"",Data[[#This Row],[Actual]],ManArima($B$1,$B$2,$B$3,$B$7:$B51))</f>
        <v>2.5050927237362242E-3</v>
      </c>
      <c r="C52" s="14">
        <v>2.5050927237362242E-3</v>
      </c>
      <c r="D52" s="13"/>
      <c r="E52" s="3">
        <f>Data[[#This Row],[Forecast]]+($E$3-$D$3)/COUNT(Data[Forecast])*COUNT(INDEX(Data[Forecast],1):Data[[#This Row],[Forecast]])</f>
        <v>0</v>
      </c>
      <c r="F52" s="3">
        <f>Data[[#This Row],[Forecast]]+($F$3-$D$3)/COUNT(Data[Forecast])*COUNT(INDEX(Data[Forecast],1):Data[[#This Row],[Forecast]])</f>
        <v>0</v>
      </c>
      <c r="G52" s="3">
        <f>Data[[#This Row],[Actual]]+Data[[#This Row],[Min]]</f>
        <v>2.5050927237362242E-3</v>
      </c>
      <c r="H52" s="3">
        <f>(Data[[#This Row],[Max]]-Data[[#This Row],[Min]])/$H$3</f>
        <v>0</v>
      </c>
    </row>
    <row r="53" spans="1:8" ht="15.5" x14ac:dyDescent="0.35">
      <c r="A53" s="12">
        <f t="shared" si="0"/>
        <v>44835</v>
      </c>
      <c r="B53" s="14" cm="1">
        <f t="array" ref="B53">IF(Data[[#This Row],[Actual]]&lt;&gt;"",Data[[#This Row],[Actual]],ManArima($B$1,$B$2,$B$3,$B$7:$B52,0))</f>
        <v>1.030523901214956E-2</v>
      </c>
      <c r="C53" s="13"/>
      <c r="D53" s="3">
        <f>IF(Data[[#This Row],[Actual]]="",Data[[#This Row],[ALL]],"")</f>
        <v>1.030523901214956E-2</v>
      </c>
      <c r="E53" s="3">
        <f>Data[[#This Row],[Forecast]]+($E$3-$D$3)/COUNT(Data[Forecast])*COUNT(INDEX(Data[Forecast],1):Data[[#This Row],[Forecast]])</f>
        <v>4.2763139407517243E-3</v>
      </c>
      <c r="F53" s="3">
        <f>Data[[#This Row],[Forecast]]+($F$3-$D$3)/COUNT(Data[Forecast])*COUNT(INDEX(Data[Forecast],1):Data[[#This Row],[Forecast]])</f>
        <v>1.0942980607418391E-2</v>
      </c>
      <c r="G53" s="3">
        <f>Data[[#This Row],[Actual]]+Data[[#This Row],[Min]]</f>
        <v>4.2763139407517243E-3</v>
      </c>
      <c r="H53" s="3">
        <f>(Data[[#This Row],[Max]]-Data[[#This Row],[Min]])/$H$3</f>
        <v>3.3333333333333338E-4</v>
      </c>
    </row>
    <row r="54" spans="1:8" ht="15.5" x14ac:dyDescent="0.35">
      <c r="A54" s="12">
        <f t="shared" si="0"/>
        <v>44866</v>
      </c>
      <c r="B54" s="14" cm="1">
        <f t="array" ref="B54">IF(Data[[#This Row],[Actual]]&lt;&gt;"",Data[[#This Row],[Actual]],ManArima($B$1,$B$2,$B$3,$B$7:$B53,0))</f>
        <v>6.1873058188593854E-3</v>
      </c>
      <c r="C54" s="13"/>
      <c r="D54" s="3">
        <f>IF(Data[[#This Row],[Actual]]="",Data[[#This Row],[ALL]],"")</f>
        <v>6.1873058188593854E-3</v>
      </c>
      <c r="E54" s="3">
        <f>Data[[#This Row],[Forecast]]+($E$3-$D$3)/COUNT(Data[Forecast])*COUNT(INDEX(Data[Forecast],1):Data[[#This Row],[Forecast]])</f>
        <v>-5.8705443239362859E-3</v>
      </c>
      <c r="F54" s="3">
        <f>Data[[#This Row],[Forecast]]+($F$3-$D$3)/COUNT(Data[Forecast])*COUNT(INDEX(Data[Forecast],1):Data[[#This Row],[Forecast]])</f>
        <v>7.4627890093970483E-3</v>
      </c>
      <c r="G54" s="3">
        <f>Data[[#This Row],[Actual]]+Data[[#This Row],[Min]]</f>
        <v>-5.8705443239362859E-3</v>
      </c>
      <c r="H54" s="3">
        <f>(Data[[#This Row],[Max]]-Data[[#This Row],[Min]])/$H$3</f>
        <v>6.6666666666666675E-4</v>
      </c>
    </row>
    <row r="55" spans="1:8" ht="15.5" x14ac:dyDescent="0.35">
      <c r="A55" s="12">
        <f t="shared" si="0"/>
        <v>44896</v>
      </c>
      <c r="B55" s="14" cm="1">
        <f t="array" ref="B55">IF(Data[[#This Row],[Actual]]&lt;&gt;"",Data[[#This Row],[Actual]],ManArima($B$1,$B$2,$B$3,$B$7:$B54,0))</f>
        <v>1.0075338255036486E-2</v>
      </c>
      <c r="C55" s="13"/>
      <c r="D55" s="3">
        <f>IF(Data[[#This Row],[Actual]]="",Data[[#This Row],[ALL]],"")</f>
        <v>1.0075338255036486E-2</v>
      </c>
      <c r="E55" s="3">
        <f>Data[[#This Row],[Forecast]]+($E$3-$D$3)/COUNT(Data[Forecast])*COUNT(INDEX(Data[Forecast],1):Data[[#This Row],[Forecast]])</f>
        <v>-8.0114369591570197E-3</v>
      </c>
      <c r="F55" s="3">
        <f>Data[[#This Row],[Forecast]]+($F$3-$D$3)/COUNT(Data[Forecast])*COUNT(INDEX(Data[Forecast],1):Data[[#This Row],[Forecast]])</f>
        <v>1.1988563040842981E-2</v>
      </c>
      <c r="G55" s="3">
        <f>Data[[#This Row],[Actual]]+Data[[#This Row],[Min]]</f>
        <v>-8.0114369591570197E-3</v>
      </c>
      <c r="H55" s="3">
        <f>(Data[[#This Row],[Max]]-Data[[#This Row],[Min]])/$H$3</f>
        <v>1E-3</v>
      </c>
    </row>
    <row r="56" spans="1:8" ht="15.5" x14ac:dyDescent="0.35">
      <c r="A56" s="12">
        <f t="shared" si="0"/>
        <v>44927</v>
      </c>
      <c r="B56" s="14" cm="1">
        <f t="array" ref="B56">IF(Data[[#This Row],[Actual]]&lt;&gt;"",Data[[#This Row],[Actual]],ManArima($B$1,$B$2,$B$3,$B$7:$B55,0))</f>
        <v>9.3173573899305393E-3</v>
      </c>
      <c r="C56" s="13"/>
      <c r="D56" s="3">
        <f>IF(Data[[#This Row],[Actual]]="",Data[[#This Row],[ALL]],"")</f>
        <v>9.3173573899305393E-3</v>
      </c>
      <c r="E56" s="3">
        <f>Data[[#This Row],[Forecast]]+($E$3-$D$3)/COUNT(Data[Forecast])*COUNT(INDEX(Data[Forecast],1):Data[[#This Row],[Forecast]])</f>
        <v>-1.4798342895660803E-2</v>
      </c>
      <c r="F56" s="3">
        <f>Data[[#This Row],[Forecast]]+($F$3-$D$3)/COUNT(Data[Forecast])*COUNT(INDEX(Data[Forecast],1):Data[[#This Row],[Forecast]])</f>
        <v>1.1868323771005865E-2</v>
      </c>
      <c r="G56" s="3">
        <f>Data[[#This Row],[Actual]]+Data[[#This Row],[Min]]</f>
        <v>-1.4798342895660803E-2</v>
      </c>
      <c r="H56" s="3">
        <f>(Data[[#This Row],[Max]]-Data[[#This Row],[Min]])/$H$3</f>
        <v>1.3333333333333335E-3</v>
      </c>
    </row>
    <row r="57" spans="1:8" ht="15.5" x14ac:dyDescent="0.35">
      <c r="A57" s="12">
        <f t="shared" si="0"/>
        <v>44958</v>
      </c>
      <c r="B57" s="14" cm="1">
        <f t="array" ref="B57">IF(Data[[#This Row],[Actual]]&lt;&gt;"",Data[[#This Row],[Actual]],ManArima($B$1,$B$2,$B$3,$B$7:$B56,0))</f>
        <v>1.1948924431842709E-2</v>
      </c>
      <c r="C57" s="13"/>
      <c r="D57" s="3">
        <f>IF(Data[[#This Row],[Actual]]="",Data[[#This Row],[ALL]],"")</f>
        <v>1.1948924431842709E-2</v>
      </c>
      <c r="E57" s="3">
        <f>Data[[#This Row],[Forecast]]+($E$3-$D$3)/COUNT(Data[Forecast])*COUNT(INDEX(Data[Forecast],1):Data[[#This Row],[Forecast]])</f>
        <v>-1.8195700925146469E-2</v>
      </c>
      <c r="F57" s="3">
        <f>Data[[#This Row],[Forecast]]+($F$3-$D$3)/COUNT(Data[Forecast])*COUNT(INDEX(Data[Forecast],1):Data[[#This Row],[Forecast]])</f>
        <v>1.5137632408186866E-2</v>
      </c>
      <c r="G57" s="3">
        <f>Data[[#This Row],[Actual]]+Data[[#This Row],[Min]]</f>
        <v>-1.8195700925146469E-2</v>
      </c>
      <c r="H57" s="3">
        <f>(Data[[#This Row],[Max]]-Data[[#This Row],[Min]])/$H$3</f>
        <v>1.6666666666666666E-3</v>
      </c>
    </row>
    <row r="58" spans="1:8" ht="15.5" x14ac:dyDescent="0.35">
      <c r="A58" s="12">
        <f t="shared" si="0"/>
        <v>44986</v>
      </c>
      <c r="B58" s="14" cm="1">
        <f t="array" ref="B58">IF(Data[[#This Row],[Actual]]&lt;&gt;"",Data[[#This Row],[Actual]],ManArima($B$1,$B$2,$B$3,$B$7:$B57,0))</f>
        <v>1.2866586801108333E-2</v>
      </c>
      <c r="C58" s="13"/>
      <c r="D58" s="3">
        <f>IF(Data[[#This Row],[Actual]]="",Data[[#This Row],[ALL]],"")</f>
        <v>1.2866586801108333E-2</v>
      </c>
      <c r="E58" s="3">
        <f>Data[[#This Row],[Forecast]]+($E$3-$D$3)/COUNT(Data[Forecast])*COUNT(INDEX(Data[Forecast],1):Data[[#This Row],[Forecast]])</f>
        <v>-2.330696362727868E-2</v>
      </c>
      <c r="F58" s="3">
        <f>Data[[#This Row],[Forecast]]+($F$3-$D$3)/COUNT(Data[Forecast])*COUNT(INDEX(Data[Forecast],1):Data[[#This Row],[Forecast]])</f>
        <v>1.669303637272132E-2</v>
      </c>
      <c r="G58" s="3">
        <f>Data[[#This Row],[Actual]]+Data[[#This Row],[Min]]</f>
        <v>-2.330696362727868E-2</v>
      </c>
      <c r="H58" s="3">
        <f>(Data[[#This Row],[Max]]-Data[[#This Row],[Min]])/$H$3</f>
        <v>2E-3</v>
      </c>
    </row>
    <row r="59" spans="1:8" ht="15.5" x14ac:dyDescent="0.35">
      <c r="A59" s="12">
        <f t="shared" si="0"/>
        <v>45017</v>
      </c>
      <c r="B59" s="14" cm="1">
        <f t="array" ref="B59">IF(Data[[#This Row],[Actual]]&lt;&gt;"",Data[[#This Row],[Actual]],ManArima($B$1,$B$2,$B$3,$B$7:$B58,0))</f>
        <v>1.5311774618298293E-2</v>
      </c>
      <c r="C59" s="13"/>
      <c r="D59" s="3">
        <f>IF(Data[[#This Row],[Actual]]="",Data[[#This Row],[ALL]],"")</f>
        <v>1.5311774618298293E-2</v>
      </c>
      <c r="E59" s="3">
        <f>Data[[#This Row],[Forecast]]+($E$3-$D$3)/COUNT(Data[Forecast])*COUNT(INDEX(Data[Forecast],1):Data[[#This Row],[Forecast]])</f>
        <v>-2.6890700881486554E-2</v>
      </c>
      <c r="F59" s="3">
        <f>Data[[#This Row],[Forecast]]+($F$3-$D$3)/COUNT(Data[Forecast])*COUNT(INDEX(Data[Forecast],1):Data[[#This Row],[Forecast]])</f>
        <v>1.9775965785180115E-2</v>
      </c>
      <c r="G59" s="3">
        <f>Data[[#This Row],[Actual]]+Data[[#This Row],[Min]]</f>
        <v>-2.6890700881486554E-2</v>
      </c>
      <c r="H59" s="3">
        <f>(Data[[#This Row],[Max]]-Data[[#This Row],[Min]])/$H$3</f>
        <v>2.3333333333333335E-3</v>
      </c>
    </row>
    <row r="60" spans="1:8" ht="15.5" x14ac:dyDescent="0.35">
      <c r="A60" s="12">
        <f t="shared" si="0"/>
        <v>45047</v>
      </c>
      <c r="B60" s="14" cm="1">
        <f t="array" ref="B60">IF(Data[[#This Row],[Actual]]&lt;&gt;"",Data[[#This Row],[Actual]],ManArima($B$1,$B$2,$B$3,$B$7:$B59,0))</f>
        <v>1.7225570358663126E-2</v>
      </c>
      <c r="C60" s="13"/>
      <c r="D60" s="3">
        <f>IF(Data[[#This Row],[Actual]]="",Data[[#This Row],[ALL]],"")</f>
        <v>1.7225570358663126E-2</v>
      </c>
      <c r="E60" s="3">
        <f>Data[[#This Row],[Forecast]]+($E$3-$D$3)/COUNT(Data[Forecast])*COUNT(INDEX(Data[Forecast],1):Data[[#This Row],[Forecast]])</f>
        <v>-3.1005830212519559E-2</v>
      </c>
      <c r="F60" s="3">
        <f>Data[[#This Row],[Forecast]]+($F$3-$D$3)/COUNT(Data[Forecast])*COUNT(INDEX(Data[Forecast],1):Data[[#This Row],[Forecast]])</f>
        <v>2.2327503120813778E-2</v>
      </c>
      <c r="G60" s="3">
        <f>Data[[#This Row],[Actual]]+Data[[#This Row],[Min]]</f>
        <v>-3.1005830212519559E-2</v>
      </c>
      <c r="H60" s="3">
        <f>(Data[[#This Row],[Max]]-Data[[#This Row],[Min]])/$H$3</f>
        <v>2.666666666666667E-3</v>
      </c>
    </row>
    <row r="61" spans="1:8" ht="15.5" x14ac:dyDescent="0.35">
      <c r="A61" s="12">
        <f t="shared" si="0"/>
        <v>45078</v>
      </c>
      <c r="B61" s="14" cm="1">
        <f t="array" ref="B61">IF(Data[[#This Row],[Actual]]&lt;&gt;"",Data[[#This Row],[Actual]],ManArima($B$1,$B$2,$B$3,$B$7:$B60,0))</f>
        <v>1.9915578931349695E-2</v>
      </c>
      <c r="C61" s="13"/>
      <c r="D61" s="3">
        <f>IF(Data[[#This Row],[Actual]]="",Data[[#This Row],[ALL]],"")</f>
        <v>1.9915578931349695E-2</v>
      </c>
      <c r="E61" s="3">
        <f>Data[[#This Row],[Forecast]]+($E$3-$D$3)/COUNT(Data[Forecast])*COUNT(INDEX(Data[Forecast],1):Data[[#This Row],[Forecast]])</f>
        <v>-3.4344746711230827E-2</v>
      </c>
      <c r="F61" s="3">
        <f>Data[[#This Row],[Forecast]]+($F$3-$D$3)/COUNT(Data[Forecast])*COUNT(INDEX(Data[Forecast],1):Data[[#This Row],[Forecast]])</f>
        <v>2.5655253288769178E-2</v>
      </c>
      <c r="G61" s="3">
        <f>Data[[#This Row],[Actual]]+Data[[#This Row],[Min]]</f>
        <v>-3.4344746711230827E-2</v>
      </c>
      <c r="H61" s="3">
        <f>(Data[[#This Row],[Max]]-Data[[#This Row],[Min]])/$H$3</f>
        <v>3.0000000000000001E-3</v>
      </c>
    </row>
    <row r="62" spans="1:8" ht="15.5" x14ac:dyDescent="0.35">
      <c r="A62" s="12">
        <f t="shared" si="0"/>
        <v>45108</v>
      </c>
      <c r="B62" s="14" cm="1">
        <f t="array" ref="B62">IF(Data[[#This Row],[Actual]]&lt;&gt;"",Data[[#This Row],[Actual]],ManArima($B$1,$B$2,$B$3,$B$7:$B61,0))</f>
        <v>2.2551316938484889E-2</v>
      </c>
      <c r="C62" s="13"/>
      <c r="D62" s="3">
        <f>IF(Data[[#This Row],[Actual]]="",Data[[#This Row],[ALL]],"")</f>
        <v>2.2551316938484889E-2</v>
      </c>
      <c r="E62" s="3">
        <f>Data[[#This Row],[Forecast]]+($E$3-$D$3)/COUNT(Data[Forecast])*COUNT(INDEX(Data[Forecast],1):Data[[#This Row],[Forecast]])</f>
        <v>-3.7737933775493469E-2</v>
      </c>
      <c r="F62" s="3">
        <f>Data[[#This Row],[Forecast]]+($F$3-$D$3)/COUNT(Data[Forecast])*COUNT(INDEX(Data[Forecast],1):Data[[#This Row],[Forecast]])</f>
        <v>2.8928732891173203E-2</v>
      </c>
      <c r="G62" s="3">
        <f>Data[[#This Row],[Actual]]+Data[[#This Row],[Min]]</f>
        <v>-3.7737933775493469E-2</v>
      </c>
      <c r="H62" s="3">
        <f>(Data[[#This Row],[Max]]-Data[[#This Row],[Min]])/$H$3</f>
        <v>3.333333333333334E-3</v>
      </c>
    </row>
    <row r="63" spans="1:8" ht="15.5" x14ac:dyDescent="0.35">
      <c r="A63" s="12">
        <f t="shared" si="0"/>
        <v>45139</v>
      </c>
      <c r="B63" s="14" cm="1">
        <f t="array" ref="B63">IF(Data[[#This Row],[Actual]]&lt;&gt;"",Data[[#This Row],[Actual]],ManArima($B$1,$B$2,$B$3,$B$7:$B62,0))</f>
        <v>2.5659933004272321E-2</v>
      </c>
      <c r="C63" s="13"/>
      <c r="D63" s="3">
        <f>IF(Data[[#This Row],[Actual]]="",Data[[#This Row],[ALL]],"")</f>
        <v>2.5659933004272321E-2</v>
      </c>
      <c r="E63" s="3">
        <f>Data[[#This Row],[Forecast]]+($E$3-$D$3)/COUNT(Data[Forecast])*COUNT(INDEX(Data[Forecast],1):Data[[#This Row],[Forecast]])</f>
        <v>-4.0658242781103866E-2</v>
      </c>
      <c r="F63" s="3">
        <f>Data[[#This Row],[Forecast]]+($F$3-$D$3)/COUNT(Data[Forecast])*COUNT(INDEX(Data[Forecast],1):Data[[#This Row],[Forecast]])</f>
        <v>3.2675090552229467E-2</v>
      </c>
      <c r="G63" s="3">
        <f>Data[[#This Row],[Actual]]+Data[[#This Row],[Min]]</f>
        <v>-4.0658242781103866E-2</v>
      </c>
      <c r="H63" s="3">
        <f>(Data[[#This Row],[Max]]-Data[[#This Row],[Min]])/$H$3</f>
        <v>3.6666666666666666E-3</v>
      </c>
    </row>
    <row r="64" spans="1:8" ht="15.5" x14ac:dyDescent="0.35">
      <c r="A64" s="12">
        <f t="shared" si="0"/>
        <v>45170</v>
      </c>
      <c r="B64" s="14" cm="1">
        <f t="array" ref="B64">IF(Data[[#This Row],[Actual]]&lt;&gt;"",Data[[#This Row],[Actual]],ManArima($B$1,$B$2,$B$3,$B$7:$B63,0))</f>
        <v>2.8906911220385315E-2</v>
      </c>
      <c r="C64" s="13"/>
      <c r="D64" s="3">
        <f>IF(Data[[#This Row],[Actual]]="",Data[[#This Row],[ALL]],"")</f>
        <v>2.8906911220385315E-2</v>
      </c>
      <c r="E64" s="3">
        <f>Data[[#This Row],[Forecast]]+($E$3-$D$3)/COUNT(Data[Forecast])*COUNT(INDEX(Data[Forecast],1):Data[[#This Row],[Forecast]])</f>
        <v>-4.344018963638871E-2</v>
      </c>
      <c r="F64" s="3">
        <f>Data[[#This Row],[Forecast]]+($F$3-$D$3)/COUNT(Data[Forecast])*COUNT(INDEX(Data[Forecast],1):Data[[#This Row],[Forecast]])</f>
        <v>3.6559810363611292E-2</v>
      </c>
      <c r="G64" s="3">
        <f>Data[[#This Row],[Actual]]+Data[[#This Row],[Min]]</f>
        <v>-4.344018963638871E-2</v>
      </c>
      <c r="H64" s="3">
        <f>(Data[[#This Row],[Max]]-Data[[#This Row],[Min]])/$H$3</f>
        <v>4.0000000000000001E-3</v>
      </c>
    </row>
    <row r="65" spans="1:8" ht="15.5" x14ac:dyDescent="0.35">
      <c r="A65" s="12">
        <f t="shared" si="0"/>
        <v>45200</v>
      </c>
      <c r="B65" s="14" cm="1">
        <f t="array" ref="B65">IF(Data[[#This Row],[Actual]]&lt;&gt;"",Data[[#This Row],[Actual]],ManArima($B$1,$B$2,$B$3,$B$7:$B64,0))</f>
        <v>3.2504502769945334E-2</v>
      </c>
      <c r="C65" s="13"/>
      <c r="D65" s="3">
        <f>IF(Data[[#This Row],[Actual]]="",Data[[#This Row],[ALL]],"")</f>
        <v>3.2504502769945334E-2</v>
      </c>
      <c r="E65" s="3">
        <f>Data[[#This Row],[Forecast]]+($E$3-$D$3)/COUNT(Data[Forecast])*COUNT(INDEX(Data[Forecast],1):Data[[#This Row],[Forecast]])</f>
        <v>-4.5871523158226526E-2</v>
      </c>
      <c r="F65" s="3">
        <f>Data[[#This Row],[Forecast]]+($F$3-$D$3)/COUNT(Data[Forecast])*COUNT(INDEX(Data[Forecast],1):Data[[#This Row],[Forecast]])</f>
        <v>4.0795143508440143E-2</v>
      </c>
      <c r="G65" s="3">
        <f>Data[[#This Row],[Actual]]+Data[[#This Row],[Min]]</f>
        <v>-4.5871523158226526E-2</v>
      </c>
      <c r="H65" s="3">
        <f>(Data[[#This Row],[Max]]-Data[[#This Row],[Min]])/$H$3</f>
        <v>4.3333333333333331E-3</v>
      </c>
    </row>
    <row r="66" spans="1:8" ht="15.5" x14ac:dyDescent="0.35">
      <c r="A66" s="12">
        <f t="shared" si="0"/>
        <v>45231</v>
      </c>
      <c r="B66" s="14" cm="1">
        <f t="array" ref="B66">IF(Data[[#This Row],[Actual]]&lt;&gt;"",Data[[#This Row],[Actual]],ManArima($B$1,$B$2,$B$3,$B$7:$B65,0))</f>
        <v>3.6317628172053792E-2</v>
      </c>
      <c r="C66" s="13"/>
      <c r="D66" s="3">
        <f>IF(Data[[#This Row],[Actual]]="",Data[[#This Row],[ALL]],"")</f>
        <v>3.6317628172053792E-2</v>
      </c>
      <c r="E66" s="3">
        <f>Data[[#This Row],[Forecast]]+($E$3-$D$3)/COUNT(Data[Forecast])*COUNT(INDEX(Data[Forecast],1):Data[[#This Row],[Forecast]])</f>
        <v>-4.8087322827515905E-2</v>
      </c>
      <c r="F66" s="3">
        <f>Data[[#This Row],[Forecast]]+($F$3-$D$3)/COUNT(Data[Forecast])*COUNT(INDEX(Data[Forecast],1):Data[[#This Row],[Forecast]])</f>
        <v>4.5246010505817433E-2</v>
      </c>
      <c r="G66" s="3">
        <f>Data[[#This Row],[Actual]]+Data[[#This Row],[Min]]</f>
        <v>-4.8087322827515905E-2</v>
      </c>
      <c r="H66" s="3">
        <f>(Data[[#This Row],[Max]]-Data[[#This Row],[Min]])/$H$3</f>
        <v>4.6666666666666671E-3</v>
      </c>
    </row>
    <row r="67" spans="1:8" ht="15.5" x14ac:dyDescent="0.35">
      <c r="A67" s="12">
        <f t="shared" si="0"/>
        <v>45261</v>
      </c>
      <c r="B67" s="14" cm="1">
        <f t="array" ref="B67">IF(Data[[#This Row],[Actual]]&lt;&gt;"",Data[[#This Row],[Actual]],ManArima($B$1,$B$2,$B$3,$B$7:$B66,0))</f>
        <v>4.0433876070967531E-2</v>
      </c>
      <c r="C67" s="13"/>
      <c r="D67" s="3">
        <f>IF(Data[[#This Row],[Actual]]="",Data[[#This Row],[ALL]],"")</f>
        <v>4.0433876070967531E-2</v>
      </c>
      <c r="E67" s="3">
        <f>Data[[#This Row],[Forecast]]+($E$3-$D$3)/COUNT(Data[Forecast])*COUNT(INDEX(Data[Forecast],1):Data[[#This Row],[Forecast]])</f>
        <v>-0.05</v>
      </c>
      <c r="F67" s="3">
        <f>Data[[#This Row],[Forecast]]+($F$3-$D$3)/COUNT(Data[Forecast])*COUNT(INDEX(Data[Forecast],1):Data[[#This Row],[Forecast]])</f>
        <v>0.05</v>
      </c>
      <c r="G67" s="3">
        <f>Data[[#This Row],[Actual]]+Data[[#This Row],[Min]]</f>
        <v>-0.05</v>
      </c>
      <c r="H67" s="3">
        <f>(Data[[#This Row],[Max]]-Data[[#This Row],[Min]])/$H$3</f>
        <v>5.0000000000000001E-3</v>
      </c>
    </row>
  </sheetData>
  <conditionalFormatting sqref="C7:C52">
    <cfRule type="cellIs" dxfId="3" priority="2" operator="lessThan">
      <formula>0</formula>
    </cfRule>
  </conditionalFormatting>
  <conditionalFormatting sqref="B7:B67">
    <cfRule type="cellIs" dxfId="2" priority="1" operator="lessThan">
      <formula>0</formula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A728F4-BC37-4C4A-8EB1-DCB202517F8D}">
  <sheetPr codeName="Sheet5"/>
  <dimension ref="A1:M53"/>
  <sheetViews>
    <sheetView tabSelected="1" topLeftCell="A10" workbookViewId="0">
      <selection activeCell="G20" sqref="G20"/>
    </sheetView>
  </sheetViews>
  <sheetFormatPr defaultRowHeight="15.5" x14ac:dyDescent="0.35"/>
  <cols>
    <col min="1" max="1" width="11.33203125" customWidth="1"/>
    <col min="4" max="4" width="11.25" customWidth="1"/>
    <col min="7" max="7" width="10.75" customWidth="1"/>
    <col min="12" max="12" width="8.9140625" customWidth="1"/>
    <col min="13" max="13" width="18.1640625" customWidth="1"/>
  </cols>
  <sheetData>
    <row r="1" spans="1:13" x14ac:dyDescent="0.35">
      <c r="A1" s="47"/>
      <c r="B1" s="47"/>
      <c r="C1" s="47"/>
      <c r="D1" s="47"/>
      <c r="E1" s="47"/>
      <c r="F1" s="47"/>
    </row>
    <row r="2" spans="1:13" x14ac:dyDescent="0.35">
      <c r="A2" s="2"/>
      <c r="B2" s="2"/>
      <c r="C2" s="2"/>
      <c r="D2" s="2"/>
      <c r="E2" s="2"/>
      <c r="F2" s="2"/>
    </row>
    <row r="3" spans="1:13" x14ac:dyDescent="0.35">
      <c r="A3" t="s">
        <v>25</v>
      </c>
      <c r="B3" t="s">
        <v>40</v>
      </c>
      <c r="C3" t="s">
        <v>43</v>
      </c>
    </row>
    <row r="4" spans="1:13" x14ac:dyDescent="0.35">
      <c r="A4" s="24">
        <v>43435</v>
      </c>
      <c r="B4" s="22">
        <v>1.9906474117017403E-2</v>
      </c>
      <c r="G4" s="51" t="s">
        <v>33</v>
      </c>
      <c r="H4" s="52" t="s">
        <v>57</v>
      </c>
      <c r="I4" s="48"/>
      <c r="J4" s="48"/>
      <c r="K4" s="48"/>
      <c r="L4" s="48"/>
      <c r="M4" s="48"/>
    </row>
    <row r="5" spans="1:13" x14ac:dyDescent="0.35">
      <c r="A5" s="25">
        <f>EOMONTH(A4,0)+1</f>
        <v>43466</v>
      </c>
      <c r="B5" s="23">
        <v>-1.2347184938439337E-3</v>
      </c>
      <c r="F5" s="32" t="s">
        <v>44</v>
      </c>
      <c r="G5" s="26" t="s">
        <v>41</v>
      </c>
      <c r="H5" s="26" t="s">
        <v>15</v>
      </c>
      <c r="I5" s="26" t="s">
        <v>16</v>
      </c>
      <c r="J5" s="26" t="s">
        <v>17</v>
      </c>
      <c r="K5" s="26" t="s">
        <v>31</v>
      </c>
      <c r="L5" s="26" t="s">
        <v>30</v>
      </c>
      <c r="M5" s="26" t="s">
        <v>32</v>
      </c>
    </row>
    <row r="6" spans="1:13" x14ac:dyDescent="0.35">
      <c r="A6" s="24">
        <f t="shared" ref="A6:A53" si="0">EOMONTH(A5,0)+1</f>
        <v>43497</v>
      </c>
      <c r="B6" s="22">
        <v>1.7287825383178745E-3</v>
      </c>
      <c r="F6" s="32" t="s">
        <v>40</v>
      </c>
      <c r="G6" s="28" cm="1">
        <f t="array" ref="G6">AutoArima(B4:B49,0)</f>
        <v>3.1780652906624896E-3</v>
      </c>
      <c r="H6" s="27" cm="1">
        <f t="array" ref="H6">AutoArima(B4:B49,"p")</f>
        <v>0</v>
      </c>
      <c r="I6" s="27" cm="1">
        <f t="array" ref="I6">AutoArima(B4:B49,"d")</f>
        <v>0</v>
      </c>
      <c r="J6" s="27" cm="1">
        <f t="array" ref="J6">AutoArima(B4:B49,"q")</f>
        <v>0</v>
      </c>
      <c r="K6" s="34" cm="1">
        <f t="array" ref="K6">AutoArima(B4:B49,"rmse")</f>
        <v>6.690266533543745E-3</v>
      </c>
      <c r="L6" s="31" cm="1">
        <f t="array" ref="L6">AutoArima(B4:B49,"rmse")</f>
        <v>6.690266533543745E-3</v>
      </c>
      <c r="M6" s="36" t="str" cm="1">
        <f t="array" ref="M6">AutoArima(B4:B49,R2)</f>
        <v/>
      </c>
    </row>
    <row r="7" spans="1:13" x14ac:dyDescent="0.35">
      <c r="A7" s="25">
        <f t="shared" si="0"/>
        <v>43525</v>
      </c>
      <c r="B7" s="23">
        <v>1.0043566472784038E-2</v>
      </c>
      <c r="F7" s="32" t="s">
        <v>43</v>
      </c>
      <c r="G7" s="28" cm="1">
        <f t="array" ref="G7">AutoArima(C16:C50,0)</f>
        <v>7.6018599999956749E-2</v>
      </c>
      <c r="H7" s="27" cm="1">
        <f t="array" ref="H7">AutoArima(C16:C50,"p")</f>
        <v>2</v>
      </c>
      <c r="I7" s="27"/>
      <c r="J7" s="27"/>
      <c r="K7" s="27"/>
      <c r="L7" s="31"/>
      <c r="M7" s="31"/>
    </row>
    <row r="8" spans="1:13" x14ac:dyDescent="0.35">
      <c r="A8" s="24">
        <f t="shared" si="0"/>
        <v>43556</v>
      </c>
      <c r="B8" s="22">
        <v>5.8785328191972575E-3</v>
      </c>
    </row>
    <row r="9" spans="1:13" x14ac:dyDescent="0.35">
      <c r="A9" s="25">
        <f t="shared" si="0"/>
        <v>43586</v>
      </c>
      <c r="B9" s="23">
        <v>2.5358189942550347E-3</v>
      </c>
    </row>
    <row r="10" spans="1:13" x14ac:dyDescent="0.35">
      <c r="A10" s="24">
        <f t="shared" si="0"/>
        <v>43617</v>
      </c>
      <c r="B10" s="22">
        <v>-3.3346768523168091E-4</v>
      </c>
    </row>
    <row r="11" spans="1:13" x14ac:dyDescent="0.35">
      <c r="A11" s="25">
        <f t="shared" si="0"/>
        <v>43647</v>
      </c>
      <c r="B11" s="23">
        <v>-1.7372418084593555E-4</v>
      </c>
      <c r="G11" s="19" t="s">
        <v>34</v>
      </c>
      <c r="H11" s="46" t="s">
        <v>42</v>
      </c>
      <c r="I11" s="46"/>
      <c r="J11" s="46"/>
      <c r="K11" s="46"/>
      <c r="L11" s="46"/>
      <c r="M11" s="46"/>
    </row>
    <row r="12" spans="1:13" x14ac:dyDescent="0.35">
      <c r="A12" s="24">
        <f t="shared" si="0"/>
        <v>43678</v>
      </c>
      <c r="B12" s="22">
        <v>-1.7629475595896116E-3</v>
      </c>
      <c r="G12" s="26" t="s">
        <v>15</v>
      </c>
      <c r="H12" s="26" t="s">
        <v>16</v>
      </c>
      <c r="I12" s="26" t="s">
        <v>17</v>
      </c>
      <c r="J12" s="26" t="s">
        <v>35</v>
      </c>
      <c r="K12" s="26" t="s">
        <v>31</v>
      </c>
      <c r="L12" s="26" t="s">
        <v>30</v>
      </c>
      <c r="M12" s="26" t="s">
        <v>32</v>
      </c>
    </row>
    <row r="13" spans="1:13" x14ac:dyDescent="0.35">
      <c r="A13" s="25">
        <f t="shared" si="0"/>
        <v>43709</v>
      </c>
      <c r="B13" s="23">
        <v>2.2907127469831146E-3</v>
      </c>
      <c r="F13" t="s">
        <v>40</v>
      </c>
      <c r="G13" s="27">
        <v>1</v>
      </c>
      <c r="H13" s="27">
        <v>1</v>
      </c>
      <c r="I13" s="27">
        <v>0</v>
      </c>
      <c r="J13" s="28" cm="1">
        <f t="array" ref="J13">ManArima( G13, H13, I13, $B$4:$B$48, 0)</f>
        <v>6.303066854305206E-3</v>
      </c>
      <c r="K13" s="33" cm="1">
        <f t="array" ref="K13">ManArima( G13, H13, I13, $B$4:$B$48, "rmse")</f>
        <v>6.3410431256582817E-3</v>
      </c>
      <c r="L13" s="31" cm="1">
        <f t="array" ref="L13">ManArima( G13, H13, I13, $B$4:$B$48, "mape")</f>
        <v>0.81299626513063072</v>
      </c>
      <c r="M13" s="29" cm="1">
        <f t="array" ref="M13">ManArima( G13, H13, I13, $B$4:$B$49, "r2")</f>
        <v>2.8677997579156394E-3</v>
      </c>
    </row>
    <row r="14" spans="1:13" x14ac:dyDescent="0.35">
      <c r="A14" s="24">
        <f t="shared" si="0"/>
        <v>43739</v>
      </c>
      <c r="B14" s="22">
        <v>4.1216561980494948E-3</v>
      </c>
      <c r="G14" s="27">
        <v>1</v>
      </c>
      <c r="H14" s="27">
        <v>1</v>
      </c>
      <c r="I14" s="27">
        <v>1</v>
      </c>
      <c r="J14" s="28" cm="1">
        <f t="array" ref="J14">ManArima( G14, H14, I14, $B$4:$B$48, 0)</f>
        <v>4.5797125839902933E-3</v>
      </c>
      <c r="K14" s="33" cm="1">
        <f t="array" ref="K14">ManArima( G14, H14, I14, $B$4:$B$48, "rmse")</f>
        <v>6.9470299261653956E-3</v>
      </c>
      <c r="L14" s="31" cm="1">
        <f t="array" ref="L14">ManArima( G14, H14, I14, $B$4:$B$48, "mape")</f>
        <v>0.86593106333045167</v>
      </c>
      <c r="M14" s="29" cm="1">
        <f t="array" ref="M14">ManArima( G14, H14, I14, $B$4:$B$49, "r2")</f>
        <v>3.8015882884631462E-4</v>
      </c>
    </row>
    <row r="15" spans="1:13" x14ac:dyDescent="0.35">
      <c r="A15" s="25">
        <f t="shared" si="0"/>
        <v>43770</v>
      </c>
      <c r="B15" s="23">
        <v>4.2231082981729617E-3</v>
      </c>
      <c r="G15" s="27">
        <v>1</v>
      </c>
      <c r="H15" s="27">
        <v>1</v>
      </c>
      <c r="I15" s="27">
        <v>2</v>
      </c>
      <c r="J15" s="28" cm="1">
        <f t="array" ref="J15">ManArima( G15, H15, I15, $B$4:$B$48, 0)</f>
        <v>4.8151943336949121E-3</v>
      </c>
      <c r="K15" s="33"/>
      <c r="L15" s="31"/>
      <c r="M15" s="29"/>
    </row>
    <row r="16" spans="1:13" x14ac:dyDescent="0.35">
      <c r="A16" s="24">
        <f t="shared" si="0"/>
        <v>43800</v>
      </c>
      <c r="B16" s="22">
        <v>3.0158934252297875E-3</v>
      </c>
      <c r="C16" s="14">
        <v>4.8052692850333978E-2</v>
      </c>
      <c r="G16" s="27">
        <v>4</v>
      </c>
      <c r="H16" s="27">
        <v>1</v>
      </c>
      <c r="I16" s="27">
        <v>3</v>
      </c>
      <c r="J16" s="28" cm="1">
        <f t="array" ref="J16">ManArima( G16, H16, I16, $B$4:$B$48, 0)</f>
        <v>6.4644487987589932E-3</v>
      </c>
      <c r="K16" s="33"/>
      <c r="L16" s="31"/>
      <c r="M16" s="29"/>
    </row>
    <row r="17" spans="1:13" x14ac:dyDescent="0.35">
      <c r="A17" s="25">
        <f t="shared" si="0"/>
        <v>43831</v>
      </c>
      <c r="B17" s="23">
        <v>7.6051340789629052E-4</v>
      </c>
      <c r="C17" s="14">
        <v>3.0695985125579472E-2</v>
      </c>
      <c r="G17" s="27">
        <v>0</v>
      </c>
      <c r="H17" s="27">
        <v>1</v>
      </c>
      <c r="I17" s="27">
        <v>1</v>
      </c>
      <c r="J17" s="28" cm="1">
        <f t="array" ref="J17">ManArima( G17, H17, I17, $B$4:$B$48, 0)</f>
        <v>6.0733781647725645E-3</v>
      </c>
      <c r="K17" s="33"/>
      <c r="L17" s="31"/>
      <c r="M17" s="29"/>
    </row>
    <row r="18" spans="1:13" x14ac:dyDescent="0.35">
      <c r="A18" s="24">
        <f t="shared" si="0"/>
        <v>43862</v>
      </c>
      <c r="B18" s="22">
        <v>-2.7605925356435357E-3</v>
      </c>
      <c r="C18" s="14">
        <v>3.2755004945949073E-2</v>
      </c>
      <c r="G18" s="27">
        <v>0</v>
      </c>
      <c r="H18" s="27">
        <v>2</v>
      </c>
      <c r="I18" s="27">
        <v>1</v>
      </c>
      <c r="J18" s="28" cm="1">
        <f t="array" ref="J18">ManArima( G18, H18, I18, $B$4:$B$48, 0)</f>
        <v>1.5984599751277077E-2</v>
      </c>
      <c r="K18" s="33"/>
      <c r="L18" s="31"/>
      <c r="M18" s="29"/>
    </row>
    <row r="19" spans="1:13" x14ac:dyDescent="0.35">
      <c r="A19" s="25">
        <f t="shared" si="0"/>
        <v>43891</v>
      </c>
      <c r="B19" s="23">
        <v>-2.9075500659316855E-3</v>
      </c>
      <c r="C19" s="14">
        <v>2.8126581906167125E-2</v>
      </c>
      <c r="G19" s="30"/>
    </row>
    <row r="20" spans="1:13" x14ac:dyDescent="0.35">
      <c r="A20" s="24">
        <f t="shared" si="0"/>
        <v>43922</v>
      </c>
      <c r="B20" s="22">
        <v>1.2676476768234135E-3</v>
      </c>
      <c r="C20" s="14">
        <v>1.4943598893545573E-2</v>
      </c>
      <c r="G20" s="19" t="s">
        <v>34</v>
      </c>
      <c r="H20" s="46" t="s">
        <v>42</v>
      </c>
      <c r="I20" s="46"/>
      <c r="J20" s="46"/>
      <c r="K20" s="46"/>
      <c r="L20" s="46"/>
      <c r="M20" s="46"/>
    </row>
    <row r="21" spans="1:13" x14ac:dyDescent="0.35">
      <c r="A21" s="25">
        <f t="shared" si="0"/>
        <v>43952</v>
      </c>
      <c r="B21" s="23">
        <v>3.672741038057703E-3</v>
      </c>
      <c r="C21" s="14">
        <v>1.0291160047505743E-2</v>
      </c>
      <c r="G21" s="26" t="s">
        <v>15</v>
      </c>
      <c r="H21" s="26" t="s">
        <v>16</v>
      </c>
      <c r="I21" s="26" t="s">
        <v>17</v>
      </c>
      <c r="J21" s="26" t="s">
        <v>35</v>
      </c>
      <c r="K21" s="26" t="s">
        <v>31</v>
      </c>
      <c r="L21" s="26" t="s">
        <v>30</v>
      </c>
      <c r="M21" s="26" t="s">
        <v>32</v>
      </c>
    </row>
    <row r="22" spans="1:13" x14ac:dyDescent="0.35">
      <c r="A22" s="24">
        <f t="shared" si="0"/>
        <v>43983</v>
      </c>
      <c r="B22" s="22">
        <v>-2.7079952089601456E-3</v>
      </c>
      <c r="C22" s="14">
        <v>1.1436877007194202E-2</v>
      </c>
      <c r="F22" t="s">
        <v>43</v>
      </c>
      <c r="G22" s="27">
        <v>1</v>
      </c>
      <c r="H22" s="27">
        <v>1</v>
      </c>
      <c r="I22" s="27">
        <v>0</v>
      </c>
      <c r="J22" s="28" cm="1">
        <f t="array" ref="J22">ManArima( G22, H22, I22, C16:C49, 0)</f>
        <v>7.1759581017840315E-2</v>
      </c>
      <c r="K22" s="31" cm="1">
        <f t="array" ref="K22">ManArima( G22, H22, I22, $C$16:$C$50, "rmse")</f>
        <v>3.6234915049229773E-2</v>
      </c>
      <c r="L22" s="31" cm="1">
        <f t="array" ref="L22">ManArima( G22, H22, I22, $C$16:$C$49, "mape")</f>
        <v>0.51602185095306607</v>
      </c>
      <c r="M22" s="29" cm="1">
        <f t="array" ref="M22">ManArima( G22, H22, I22, $C$16:$C$50, "r2")</f>
        <v>0.88900385957024908</v>
      </c>
    </row>
    <row r="23" spans="1:13" x14ac:dyDescent="0.35">
      <c r="A23" s="25">
        <f t="shared" si="0"/>
        <v>44013</v>
      </c>
      <c r="B23" s="23">
        <v>2.4763145405624076E-3</v>
      </c>
      <c r="C23" s="14">
        <v>9.0343911528301124E-3</v>
      </c>
      <c r="G23" s="27">
        <v>1</v>
      </c>
      <c r="H23" s="27">
        <v>1</v>
      </c>
      <c r="I23" s="27">
        <v>1</v>
      </c>
      <c r="J23" s="28"/>
      <c r="K23" s="31"/>
      <c r="L23" s="31"/>
      <c r="M23" s="29"/>
    </row>
    <row r="24" spans="1:13" x14ac:dyDescent="0.35">
      <c r="A24" s="24">
        <f t="shared" si="0"/>
        <v>44044</v>
      </c>
      <c r="B24" s="22">
        <v>-3.0464356897812461E-3</v>
      </c>
      <c r="C24" s="14">
        <v>1.1708835976353971E-2</v>
      </c>
      <c r="G24" s="27">
        <v>1</v>
      </c>
      <c r="H24" s="27">
        <v>1</v>
      </c>
      <c r="I24" s="27">
        <v>2</v>
      </c>
      <c r="J24" s="28"/>
      <c r="K24" s="31"/>
      <c r="L24" s="31"/>
      <c r="M24" s="29"/>
    </row>
    <row r="25" spans="1:13" x14ac:dyDescent="0.35">
      <c r="A25" s="25">
        <f t="shared" si="0"/>
        <v>44075</v>
      </c>
      <c r="B25" s="23">
        <v>2.1942152215461697E-3</v>
      </c>
      <c r="C25" s="14">
        <v>1.0408026435162254E-2</v>
      </c>
      <c r="G25" s="27">
        <v>4</v>
      </c>
      <c r="H25" s="27">
        <v>1</v>
      </c>
      <c r="I25" s="27">
        <v>3</v>
      </c>
      <c r="J25" s="28"/>
      <c r="K25" s="31"/>
      <c r="L25" s="31"/>
      <c r="M25" s="29"/>
    </row>
    <row r="26" spans="1:13" x14ac:dyDescent="0.35">
      <c r="A26" s="24">
        <f t="shared" si="0"/>
        <v>44105</v>
      </c>
      <c r="B26" s="22">
        <v>6.9059060167511177E-3</v>
      </c>
      <c r="C26" s="14">
        <v>1.0310747399257192E-2</v>
      </c>
      <c r="G26" s="27">
        <v>0</v>
      </c>
      <c r="H26" s="27">
        <v>0</v>
      </c>
      <c r="I26" s="27">
        <v>4</v>
      </c>
      <c r="J26" s="28"/>
      <c r="K26" s="31"/>
      <c r="L26" s="31"/>
      <c r="M26" s="29"/>
    </row>
    <row r="27" spans="1:13" x14ac:dyDescent="0.35">
      <c r="A27" s="25">
        <f t="shared" si="0"/>
        <v>44136</v>
      </c>
      <c r="B27" s="23">
        <v>7.8507238762965947E-3</v>
      </c>
      <c r="C27" s="14">
        <v>1.3112158461269008E-2</v>
      </c>
      <c r="G27" s="27">
        <v>0</v>
      </c>
      <c r="H27" s="27">
        <v>2</v>
      </c>
      <c r="I27" s="27">
        <v>1</v>
      </c>
      <c r="J27" s="28"/>
      <c r="K27" s="31"/>
      <c r="L27" s="31"/>
      <c r="M27" s="29"/>
    </row>
    <row r="28" spans="1:13" x14ac:dyDescent="0.35">
      <c r="A28" s="24">
        <f t="shared" si="0"/>
        <v>44166</v>
      </c>
      <c r="B28" s="22">
        <v>-1.7373280968800975E-3</v>
      </c>
      <c r="C28" s="14">
        <v>1.6771884490326849E-2</v>
      </c>
    </row>
    <row r="29" spans="1:13" x14ac:dyDescent="0.35">
      <c r="A29" s="25">
        <f t="shared" si="0"/>
        <v>44197</v>
      </c>
      <c r="B29" s="23">
        <v>5.2586721566194594E-3</v>
      </c>
      <c r="C29" s="14">
        <v>1.1953474297511812E-2</v>
      </c>
    </row>
    <row r="30" spans="1:13" x14ac:dyDescent="0.35">
      <c r="A30" s="24">
        <f t="shared" si="0"/>
        <v>44228</v>
      </c>
      <c r="B30" s="22">
        <v>8.8475779951302513E-4</v>
      </c>
      <c r="C30" s="14">
        <v>1.6501942500170452E-2</v>
      </c>
    </row>
    <row r="31" spans="1:13" x14ac:dyDescent="0.35">
      <c r="A31" s="25">
        <f t="shared" si="0"/>
        <v>44256</v>
      </c>
      <c r="B31" s="23">
        <v>-1.7500489349920878E-3</v>
      </c>
      <c r="C31" s="14">
        <v>2.0217705905672068E-2</v>
      </c>
    </row>
    <row r="32" spans="1:13" x14ac:dyDescent="0.35">
      <c r="A32" s="24">
        <f t="shared" si="0"/>
        <v>44287</v>
      </c>
      <c r="B32" s="22">
        <v>8.8941146354393208E-3</v>
      </c>
      <c r="C32" s="14">
        <v>2.1402052601375843E-2</v>
      </c>
    </row>
    <row r="33" spans="1:3" x14ac:dyDescent="0.35">
      <c r="A33" s="25">
        <f t="shared" si="0"/>
        <v>44317</v>
      </c>
      <c r="B33" s="23">
        <v>-3.4685393219540117E-3</v>
      </c>
      <c r="C33" s="14">
        <v>2.9181879527473864E-2</v>
      </c>
    </row>
    <row r="34" spans="1:3" x14ac:dyDescent="0.35">
      <c r="A34" s="24">
        <f t="shared" si="0"/>
        <v>44348</v>
      </c>
      <c r="B34" s="22">
        <v>1.7300231693495594E-3</v>
      </c>
      <c r="C34" s="14">
        <v>2.1859097865048804E-2</v>
      </c>
    </row>
    <row r="35" spans="1:3" x14ac:dyDescent="0.35">
      <c r="A35" s="25">
        <f t="shared" si="0"/>
        <v>44378</v>
      </c>
      <c r="B35" s="23">
        <v>-8.8231083440504232E-4</v>
      </c>
      <c r="C35" s="14">
        <v>2.6406441506210632E-2</v>
      </c>
    </row>
    <row r="36" spans="1:3" x14ac:dyDescent="0.35">
      <c r="A36" s="24">
        <f t="shared" si="0"/>
        <v>44409</v>
      </c>
      <c r="B36" s="22">
        <v>-5.1282423222831497E-4</v>
      </c>
      <c r="C36" s="14">
        <v>2.296764233512727E-2</v>
      </c>
    </row>
    <row r="37" spans="1:3" x14ac:dyDescent="0.35">
      <c r="A37" s="25">
        <f t="shared" si="0"/>
        <v>44440</v>
      </c>
      <c r="B37" s="23">
        <v>3.4593585116797776E-3</v>
      </c>
      <c r="C37" s="14">
        <v>2.5567364761637013E-2</v>
      </c>
    </row>
    <row r="38" spans="1:3" x14ac:dyDescent="0.35">
      <c r="A38" s="24">
        <f t="shared" si="0"/>
        <v>44470</v>
      </c>
      <c r="B38" s="22">
        <v>5.7939139606273393E-3</v>
      </c>
      <c r="C38" s="14">
        <v>2.6862013693352615E-2</v>
      </c>
    </row>
    <row r="39" spans="1:3" x14ac:dyDescent="0.35">
      <c r="A39" s="25">
        <f t="shared" si="0"/>
        <v>44501</v>
      </c>
      <c r="B39" s="23">
        <v>7.5879019388076507E-3</v>
      </c>
      <c r="C39" s="14">
        <v>2.5727982802145277E-2</v>
      </c>
    </row>
    <row r="40" spans="1:3" x14ac:dyDescent="0.35">
      <c r="A40" s="24">
        <f t="shared" si="0"/>
        <v>44531</v>
      </c>
      <c r="B40" s="22">
        <v>9.8218481931344748E-3</v>
      </c>
      <c r="C40" s="14">
        <v>2.5460498928402631E-2</v>
      </c>
    </row>
    <row r="41" spans="1:3" x14ac:dyDescent="0.35">
      <c r="A41" s="25">
        <f t="shared" si="0"/>
        <v>44562</v>
      </c>
      <c r="B41" s="23">
        <v>-3.915208672400361E-3</v>
      </c>
      <c r="C41" s="14">
        <v>3.7334606835254469E-2</v>
      </c>
    </row>
    <row r="42" spans="1:3" x14ac:dyDescent="0.35">
      <c r="A42" s="24">
        <f t="shared" si="0"/>
        <v>44593</v>
      </c>
      <c r="B42" s="22">
        <v>9.2856399612202267E-3</v>
      </c>
      <c r="C42" s="14">
        <v>2.7868004530288593E-2</v>
      </c>
    </row>
    <row r="43" spans="1:3" x14ac:dyDescent="0.35">
      <c r="A43" s="25">
        <f t="shared" si="0"/>
        <v>44621</v>
      </c>
      <c r="B43" s="23">
        <v>1.1479474848938409E-2</v>
      </c>
      <c r="C43" s="14">
        <v>3.6495369385791676E-2</v>
      </c>
    </row>
    <row r="44" spans="1:3" x14ac:dyDescent="0.35">
      <c r="A44" s="24">
        <f t="shared" si="0"/>
        <v>44652</v>
      </c>
      <c r="B44" s="22">
        <v>6.4896185287550701E-3</v>
      </c>
      <c r="C44" s="14">
        <v>5.023174886328996E-2</v>
      </c>
    </row>
    <row r="45" spans="1:3" x14ac:dyDescent="0.35">
      <c r="A45" s="25">
        <f t="shared" si="0"/>
        <v>44682</v>
      </c>
      <c r="B45" s="23">
        <v>7.7508397119807615E-3</v>
      </c>
      <c r="C45" s="14">
        <v>4.772873282362311E-2</v>
      </c>
    </row>
    <row r="46" spans="1:3" x14ac:dyDescent="0.35">
      <c r="A46" s="24">
        <f t="shared" si="0"/>
        <v>44713</v>
      </c>
      <c r="B46" s="22">
        <v>3.5790332995919716E-3</v>
      </c>
      <c r="C46" s="14">
        <v>5.9524512728348133E-2</v>
      </c>
    </row>
    <row r="47" spans="1:3" x14ac:dyDescent="0.35">
      <c r="A47" s="25">
        <f t="shared" si="0"/>
        <v>44743</v>
      </c>
      <c r="B47" s="23">
        <v>-4.1589680266170825E-3</v>
      </c>
      <c r="C47" s="14">
        <v>6.1480200899774351E-2</v>
      </c>
    </row>
    <row r="48" spans="1:3" x14ac:dyDescent="0.35">
      <c r="A48" s="24">
        <f t="shared" si="0"/>
        <v>44774</v>
      </c>
      <c r="B48" s="22">
        <v>1.4150766082445365E-2</v>
      </c>
      <c r="C48" s="14">
        <v>5.7999022683848933E-2</v>
      </c>
    </row>
    <row r="49" spans="1:3" x14ac:dyDescent="0.35">
      <c r="A49" s="25">
        <f t="shared" si="0"/>
        <v>44805</v>
      </c>
      <c r="B49" s="23">
        <v>2.5050927237362242E-3</v>
      </c>
      <c r="C49" s="14">
        <v>7.352104697600037E-2</v>
      </c>
    </row>
    <row r="50" spans="1:3" x14ac:dyDescent="0.35">
      <c r="A50" s="24">
        <f t="shared" si="0"/>
        <v>44835</v>
      </c>
      <c r="C50" s="14">
        <v>7.2500154202339795E-2</v>
      </c>
    </row>
    <row r="51" spans="1:3" x14ac:dyDescent="0.35">
      <c r="A51" s="25">
        <f t="shared" si="0"/>
        <v>44866</v>
      </c>
    </row>
    <row r="52" spans="1:3" x14ac:dyDescent="0.35">
      <c r="A52" s="24">
        <f t="shared" si="0"/>
        <v>44896</v>
      </c>
    </row>
    <row r="53" spans="1:3" x14ac:dyDescent="0.35">
      <c r="A53" s="25">
        <f t="shared" si="0"/>
        <v>44927</v>
      </c>
    </row>
  </sheetData>
  <mergeCells count="4">
    <mergeCell ref="H20:M20"/>
    <mergeCell ref="A1:F1"/>
    <mergeCell ref="H11:M11"/>
    <mergeCell ref="H4:M4"/>
  </mergeCells>
  <conditionalFormatting sqref="B4:B49">
    <cfRule type="cellIs" dxfId="1" priority="1" operator="lessThan">
      <formula>0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6B6D4A-B1C2-45ED-A666-6F8354A15A4B}">
  <sheetPr codeName="Sheet4"/>
  <dimension ref="A1:S126"/>
  <sheetViews>
    <sheetView topLeftCell="C8" workbookViewId="0">
      <selection activeCell="N25" sqref="N25"/>
    </sheetView>
  </sheetViews>
  <sheetFormatPr defaultRowHeight="15.5" x14ac:dyDescent="0.35"/>
  <cols>
    <col min="1" max="1" width="11.6640625" customWidth="1"/>
    <col min="7" max="7" width="14.25" customWidth="1"/>
    <col min="8" max="8" width="14.1640625" customWidth="1"/>
  </cols>
  <sheetData>
    <row r="1" spans="1:15" x14ac:dyDescent="0.35">
      <c r="A1" s="53" t="s">
        <v>45</v>
      </c>
      <c r="B1" s="53" t="s">
        <v>46</v>
      </c>
      <c r="C1" s="53" t="s">
        <v>47</v>
      </c>
      <c r="D1" s="53"/>
      <c r="E1" s="53" t="s">
        <v>40</v>
      </c>
      <c r="F1" s="53" t="s">
        <v>43</v>
      </c>
    </row>
    <row r="2" spans="1:15" x14ac:dyDescent="0.35">
      <c r="A2" s="37">
        <v>43466</v>
      </c>
      <c r="B2" s="38">
        <v>45.8</v>
      </c>
      <c r="C2" s="39">
        <v>2030</v>
      </c>
      <c r="D2" s="38"/>
      <c r="E2" s="23">
        <v>-1.23471849384393E-3</v>
      </c>
    </row>
    <row r="3" spans="1:15" x14ac:dyDescent="0.35">
      <c r="A3" s="40">
        <v>43497</v>
      </c>
      <c r="B3" s="41">
        <v>54.01</v>
      </c>
      <c r="C3" s="42">
        <v>2227</v>
      </c>
      <c r="D3" s="41"/>
      <c r="E3" s="22">
        <v>1.7287825383178745E-3</v>
      </c>
    </row>
    <row r="4" spans="1:15" x14ac:dyDescent="0.35">
      <c r="A4" s="37">
        <v>43525</v>
      </c>
      <c r="B4" s="38">
        <v>57.22</v>
      </c>
      <c r="C4" s="39">
        <v>1942</v>
      </c>
      <c r="D4" s="38"/>
      <c r="E4" s="23">
        <v>1.0043566472784038E-2</v>
      </c>
    </row>
    <row r="5" spans="1:15" x14ac:dyDescent="0.35">
      <c r="A5" s="40">
        <v>43556</v>
      </c>
      <c r="B5" s="41">
        <v>60.24</v>
      </c>
      <c r="C5" s="42">
        <v>2000</v>
      </c>
      <c r="D5" s="41"/>
      <c r="E5" s="22">
        <v>5.8785328191972575E-3</v>
      </c>
    </row>
    <row r="6" spans="1:15" x14ac:dyDescent="0.35">
      <c r="A6" s="37">
        <v>43586</v>
      </c>
      <c r="B6" s="38">
        <v>63.4</v>
      </c>
      <c r="C6" s="39">
        <v>1935</v>
      </c>
      <c r="D6" s="38"/>
      <c r="E6" s="23">
        <v>2.5358189942550347E-3</v>
      </c>
    </row>
    <row r="7" spans="1:15" x14ac:dyDescent="0.35">
      <c r="A7" s="40">
        <v>43617</v>
      </c>
      <c r="B7" s="41">
        <v>53.42</v>
      </c>
      <c r="C7" s="42">
        <v>2013</v>
      </c>
      <c r="D7" s="41"/>
      <c r="E7" s="22">
        <v>-3.3346768523168091E-4</v>
      </c>
    </row>
    <row r="8" spans="1:15" x14ac:dyDescent="0.35">
      <c r="A8" s="37">
        <v>43647</v>
      </c>
      <c r="B8" s="38">
        <v>59.27</v>
      </c>
      <c r="C8" s="39">
        <v>1886</v>
      </c>
      <c r="D8" s="38"/>
      <c r="E8" s="23">
        <v>-1.7372418084593555E-4</v>
      </c>
    </row>
    <row r="9" spans="1:15" x14ac:dyDescent="0.35">
      <c r="A9" s="40">
        <v>43678</v>
      </c>
      <c r="B9" s="41">
        <v>57.85</v>
      </c>
      <c r="C9" s="42">
        <v>2000</v>
      </c>
      <c r="D9" s="41"/>
      <c r="E9" s="22">
        <v>-1.7629475595896116E-3</v>
      </c>
      <c r="H9" s="56" t="s">
        <v>49</v>
      </c>
      <c r="I9" s="56"/>
      <c r="J9" s="49" t="s">
        <v>50</v>
      </c>
      <c r="K9" s="49"/>
      <c r="L9" s="49"/>
      <c r="M9" s="49"/>
      <c r="N9" s="49"/>
      <c r="O9" s="49"/>
    </row>
    <row r="10" spans="1:15" ht="15.5" customHeight="1" x14ac:dyDescent="0.35">
      <c r="A10" s="37">
        <v>43709</v>
      </c>
      <c r="B10" s="38">
        <v>55</v>
      </c>
      <c r="C10" s="39">
        <v>2145</v>
      </c>
      <c r="D10" s="38"/>
      <c r="E10" s="23">
        <v>2.2907127469831146E-3</v>
      </c>
      <c r="H10" s="53" t="s">
        <v>58</v>
      </c>
      <c r="I10" s="32" t="s">
        <v>44</v>
      </c>
      <c r="J10" s="32" t="s">
        <v>41</v>
      </c>
      <c r="K10" s="32" t="s">
        <v>52</v>
      </c>
      <c r="L10" s="32" t="s">
        <v>53</v>
      </c>
      <c r="M10" s="32" t="s">
        <v>54</v>
      </c>
    </row>
    <row r="11" spans="1:15" x14ac:dyDescent="0.35">
      <c r="A11" s="40">
        <v>43739</v>
      </c>
      <c r="B11" s="41">
        <v>54.28</v>
      </c>
      <c r="C11" s="42">
        <v>2112</v>
      </c>
      <c r="D11" s="41"/>
      <c r="E11" s="22">
        <v>4.1216561980494948E-3</v>
      </c>
      <c r="H11" s="27">
        <v>3</v>
      </c>
      <c r="I11" s="27" t="s">
        <v>40</v>
      </c>
      <c r="J11" s="28" cm="1">
        <f t="array" ref="J11">xg_boost(B2:C45,E2:E45,B46:C46,0)</f>
        <v>9.2511968687176704E-3</v>
      </c>
      <c r="K11" s="27" cm="1">
        <f t="array" ref="K11">xg_boost(B2:C45,E2:E45,B46:C46,"rmse")</f>
        <v>7.2799295434477808E-3</v>
      </c>
      <c r="L11" s="27" cm="1">
        <f t="array" ref="L11">xg_boost(B2:C45,E2:E45,B46:C46,"mape")</f>
        <v>3.8869135377540323</v>
      </c>
      <c r="M11" s="31" cm="1">
        <f t="array" ref="M11">xg_boost(B2:C45,E2:E45,B46:C46,"r2")</f>
        <v>-1.2962625681484088</v>
      </c>
    </row>
    <row r="12" spans="1:15" x14ac:dyDescent="0.35">
      <c r="A12" s="37">
        <v>43770</v>
      </c>
      <c r="B12" s="38">
        <v>54.15</v>
      </c>
      <c r="C12" s="39">
        <v>2400</v>
      </c>
      <c r="D12" s="38"/>
      <c r="E12" s="23">
        <v>4.2231082981729617E-3</v>
      </c>
      <c r="H12" s="27">
        <v>3</v>
      </c>
      <c r="I12" s="27" t="s">
        <v>43</v>
      </c>
      <c r="J12" s="35" cm="1">
        <f t="array" ref="J12">xg_boost(B13:C45,F13:F45,B46:C46,0)</f>
        <v>3.4510679543018341E-2</v>
      </c>
      <c r="K12" s="27" cm="1">
        <f t="array" ref="K12">xg_boost(B13:C45,F13:F45,B46:C46,"rmse")</f>
        <v>1.9149024450315758E-2</v>
      </c>
      <c r="L12" s="27" cm="1">
        <f t="array" ref="L12">xg_boost(B13:C45,F13:F45,B46:C46,"mape")</f>
        <v>0.70816419378512829</v>
      </c>
      <c r="M12" s="31" cm="1">
        <f t="array" ref="M12">xg_boost(B13:C45,F13:F45,B46:C46,"r2")</f>
        <v>0.59613319853283553</v>
      </c>
    </row>
    <row r="13" spans="1:15" x14ac:dyDescent="0.35">
      <c r="A13" s="40">
        <v>43800</v>
      </c>
      <c r="B13" s="41">
        <v>55.47</v>
      </c>
      <c r="C13" s="42">
        <v>2590</v>
      </c>
      <c r="D13" s="41"/>
      <c r="E13" s="22">
        <v>3.0158934252297875E-3</v>
      </c>
      <c r="F13" s="43">
        <v>4.8052692850333978E-2</v>
      </c>
      <c r="H13" s="27">
        <v>4</v>
      </c>
      <c r="I13" s="27"/>
      <c r="J13" s="27"/>
      <c r="K13" s="27"/>
      <c r="L13" s="27"/>
      <c r="M13" s="27"/>
    </row>
    <row r="14" spans="1:15" x14ac:dyDescent="0.35">
      <c r="A14" s="37">
        <v>43831</v>
      </c>
      <c r="B14" s="38">
        <v>61.6</v>
      </c>
      <c r="C14" s="39">
        <v>3060</v>
      </c>
      <c r="D14" s="38"/>
      <c r="E14" s="23">
        <v>7.6051340789629052E-4</v>
      </c>
      <c r="F14" s="44">
        <v>3.0695985125579472E-2</v>
      </c>
      <c r="H14" s="27">
        <v>4</v>
      </c>
      <c r="I14" s="27"/>
      <c r="J14" s="27"/>
      <c r="K14" s="27"/>
      <c r="L14" s="27"/>
      <c r="M14" s="27"/>
    </row>
    <row r="15" spans="1:15" x14ac:dyDescent="0.35">
      <c r="A15" s="40">
        <v>43862</v>
      </c>
      <c r="B15" s="41">
        <v>51.01</v>
      </c>
      <c r="C15" s="42">
        <v>2647</v>
      </c>
      <c r="D15" s="41"/>
      <c r="E15" s="22">
        <v>-2.7605925356435357E-3</v>
      </c>
      <c r="F15" s="43">
        <v>3.2755004945949073E-2</v>
      </c>
    </row>
    <row r="16" spans="1:15" x14ac:dyDescent="0.35">
      <c r="A16" s="37">
        <v>43891</v>
      </c>
      <c r="B16" s="38">
        <v>43.7</v>
      </c>
      <c r="C16" s="39">
        <v>2415</v>
      </c>
      <c r="D16" s="38"/>
      <c r="E16" s="23">
        <v>-2.9075500659316855E-3</v>
      </c>
      <c r="F16" s="44">
        <v>2.8126581906167125E-2</v>
      </c>
    </row>
    <row r="17" spans="1:19" x14ac:dyDescent="0.35">
      <c r="A17" s="40">
        <v>43922</v>
      </c>
      <c r="B17" s="41">
        <v>20.100000000000001</v>
      </c>
      <c r="C17" s="42">
        <v>2520</v>
      </c>
      <c r="D17" s="41"/>
      <c r="E17" s="22">
        <v>1.2676476768234135E-3</v>
      </c>
      <c r="F17" s="43">
        <v>1.4943598893545573E-2</v>
      </c>
    </row>
    <row r="18" spans="1:19" x14ac:dyDescent="0.35">
      <c r="A18" s="37">
        <v>43952</v>
      </c>
      <c r="B18" s="38">
        <v>19.04</v>
      </c>
      <c r="C18" s="39">
        <v>2060</v>
      </c>
      <c r="D18" s="38"/>
      <c r="E18" s="23">
        <v>3.672741038057703E-3</v>
      </c>
      <c r="F18" s="44">
        <v>1.0291160047505743E-2</v>
      </c>
    </row>
    <row r="19" spans="1:19" x14ac:dyDescent="0.35">
      <c r="A19" s="40">
        <v>43983</v>
      </c>
      <c r="B19" s="41">
        <v>35.21</v>
      </c>
      <c r="C19" s="42">
        <v>2377</v>
      </c>
      <c r="D19" s="41"/>
      <c r="E19" s="22">
        <v>-2.7079952089601456E-3</v>
      </c>
      <c r="F19" s="43">
        <v>1.1436877007194202E-2</v>
      </c>
    </row>
    <row r="20" spans="1:19" x14ac:dyDescent="0.35">
      <c r="A20" s="37">
        <v>44013</v>
      </c>
      <c r="B20" s="38">
        <v>39.840000000000003</v>
      </c>
      <c r="C20" s="39">
        <v>2400</v>
      </c>
      <c r="D20" s="38"/>
      <c r="E20" s="23">
        <v>2.4763145405624076E-3</v>
      </c>
      <c r="F20" s="44">
        <v>9.0343911528301124E-3</v>
      </c>
      <c r="H20" s="56" t="s">
        <v>60</v>
      </c>
      <c r="I20" s="56"/>
      <c r="J20" s="50" t="s">
        <v>51</v>
      </c>
      <c r="K20" s="50"/>
      <c r="L20" s="50"/>
      <c r="M20" s="50"/>
      <c r="N20" s="50"/>
      <c r="O20" s="50"/>
      <c r="P20" s="50"/>
      <c r="Q20" s="50"/>
      <c r="R20" s="50"/>
      <c r="S20" s="50"/>
    </row>
    <row r="21" spans="1:19" x14ac:dyDescent="0.35">
      <c r="A21" s="40">
        <v>44044</v>
      </c>
      <c r="B21" s="41">
        <v>40.39</v>
      </c>
      <c r="C21" s="42">
        <v>2880</v>
      </c>
      <c r="D21" s="41"/>
      <c r="E21" s="22">
        <v>-3.0464356897812461E-3</v>
      </c>
      <c r="F21" s="43">
        <v>1.1708835976353971E-2</v>
      </c>
      <c r="H21" s="53" t="s">
        <v>59</v>
      </c>
      <c r="I21" s="32" t="s">
        <v>44</v>
      </c>
      <c r="J21" s="32" t="s">
        <v>55</v>
      </c>
      <c r="K21" s="32" t="s">
        <v>56</v>
      </c>
      <c r="L21" s="32" t="s">
        <v>41</v>
      </c>
      <c r="M21" s="32" t="s">
        <v>52</v>
      </c>
      <c r="N21" s="32" t="s">
        <v>53</v>
      </c>
      <c r="O21" s="32" t="s">
        <v>54</v>
      </c>
    </row>
    <row r="22" spans="1:19" x14ac:dyDescent="0.35">
      <c r="A22" s="37">
        <v>44075</v>
      </c>
      <c r="B22" s="38">
        <v>42.83</v>
      </c>
      <c r="C22" s="39">
        <v>2898</v>
      </c>
      <c r="D22" s="38"/>
      <c r="E22" s="23">
        <v>2.1942152215461697E-3</v>
      </c>
      <c r="F22" s="44">
        <v>1.0408026435162254E-2</v>
      </c>
      <c r="H22" s="27">
        <v>2</v>
      </c>
      <c r="I22" s="54" t="s">
        <v>40</v>
      </c>
      <c r="J22" s="27">
        <v>100</v>
      </c>
      <c r="K22" s="27">
        <v>5</v>
      </c>
      <c r="L22" s="31" cm="1">
        <f t="array" ref="L22">xg_boost_tuning($B$2:$C$45,$E$2:$E$45,$B$46:$C$46, J22,K22, 0)</f>
        <v>0.18893028795719147</v>
      </c>
      <c r="M22" s="27" cm="1">
        <f t="array" ref="M22">xg_boost_tuning($B$2:$C$45,$E$2:$E$45,$B$46:$C$46, J$22,K$22, "rmse")</f>
        <v>0.18852101578480707</v>
      </c>
      <c r="N22" s="27" cm="1">
        <f t="array" ref="N22">xg_boost_tuning($B$2:$C$45,$E$2:$E$45,$B$46:$C$46, J22,K22, "mape")</f>
        <v>106.87802192243238</v>
      </c>
      <c r="O22" s="27" cm="1">
        <f t="array" ref="O22">xg_boost_tuning($B$2:$C$45,$E$2:$E$45,$B$46:$C$46, J22,K22, "r2")</f>
        <v>-1410.9897211045709</v>
      </c>
    </row>
    <row r="23" spans="1:19" x14ac:dyDescent="0.35">
      <c r="A23" s="40">
        <v>44105</v>
      </c>
      <c r="B23" s="41">
        <v>39.9</v>
      </c>
      <c r="C23" s="42">
        <v>2890</v>
      </c>
      <c r="D23" s="41"/>
      <c r="E23" s="22">
        <v>6.9059060167511177E-3</v>
      </c>
      <c r="F23" s="43">
        <v>1.0310747399257192E-2</v>
      </c>
      <c r="H23" s="27">
        <v>2</v>
      </c>
      <c r="I23" s="54" t="s">
        <v>40</v>
      </c>
      <c r="J23" s="27">
        <v>600</v>
      </c>
      <c r="K23" s="27">
        <v>6</v>
      </c>
      <c r="L23" s="31" cm="1">
        <f t="array" ref="L23">xg_boost_tuning($B$2:$C$45,$E$2:$E$45,$B$46:$C$46, J23,K23, 0)</f>
        <v>9.2678125947713852E-3</v>
      </c>
      <c r="M23" s="27" cm="1">
        <f t="array" ref="M23">xg_boost_tuning($B$2:$C$45,$E$2:$E$45,$B$46:$C$46, J23,K23, "rmse")</f>
        <v>6.0078555369728476E-3</v>
      </c>
      <c r="N23" s="27" cm="1">
        <f t="array" ref="N23">xg_boost_tuning($B$2:$C$45,$E$2:$E$45,$B$46:$C$46, J23,K23, "mape")</f>
        <v>2.5590647673550304</v>
      </c>
      <c r="O23" s="27" cm="1">
        <f t="array" ref="O23">xg_boost_tuning($B$2:$C$45,$E$2:$E$45,$B$46:$C$46, J23,K23, "r2")</f>
        <v>-0.93101387501780364</v>
      </c>
    </row>
    <row r="24" spans="1:19" x14ac:dyDescent="0.35">
      <c r="A24" s="37">
        <v>44136</v>
      </c>
      <c r="B24" s="38">
        <v>35.24</v>
      </c>
      <c r="C24" s="39">
        <v>3181</v>
      </c>
      <c r="D24" s="38"/>
      <c r="E24" s="23">
        <v>7.8507238762965947E-3</v>
      </c>
      <c r="F24" s="44">
        <v>1.3112158461269008E-2</v>
      </c>
      <c r="H24" s="27">
        <v>2</v>
      </c>
      <c r="I24" s="27"/>
      <c r="J24" s="27">
        <v>200</v>
      </c>
      <c r="K24" s="27">
        <v>4</v>
      </c>
      <c r="L24" s="31" cm="1">
        <f t="array" ref="L24">xg_boost_tuning($B$2:$C$45,$E$2:$E$45,$B$46:$C$46, J24,K24, 0)</f>
        <v>7.2484388947486877E-2</v>
      </c>
      <c r="M24" s="27"/>
      <c r="N24" s="27"/>
      <c r="O24" s="27"/>
    </row>
    <row r="25" spans="1:19" x14ac:dyDescent="0.35">
      <c r="A25" s="40">
        <v>44166</v>
      </c>
      <c r="B25" s="41">
        <v>45.08</v>
      </c>
      <c r="C25" s="42">
        <v>3438</v>
      </c>
      <c r="D25" s="41"/>
      <c r="E25" s="22">
        <v>-1.7373280968800975E-3</v>
      </c>
      <c r="F25" s="43">
        <v>1.6771884490326849E-2</v>
      </c>
      <c r="H25" s="27">
        <v>2</v>
      </c>
      <c r="I25" s="27"/>
      <c r="J25" s="27"/>
      <c r="K25" s="27"/>
      <c r="L25" s="27"/>
      <c r="M25" s="27"/>
      <c r="N25" s="27"/>
      <c r="O25" s="27"/>
    </row>
    <row r="26" spans="1:19" x14ac:dyDescent="0.35">
      <c r="A26" s="37">
        <v>44197</v>
      </c>
      <c r="B26" s="38">
        <v>48.4</v>
      </c>
      <c r="C26" s="39">
        <v>3950</v>
      </c>
      <c r="D26" s="38"/>
      <c r="E26" s="23">
        <v>5.2586721566194594E-3</v>
      </c>
      <c r="F26" s="44">
        <v>1.1953474297511812E-2</v>
      </c>
      <c r="H26" s="55">
        <v>3</v>
      </c>
      <c r="I26" s="27"/>
      <c r="J26" s="27"/>
      <c r="K26" s="27"/>
      <c r="L26" s="27"/>
      <c r="M26" s="27"/>
      <c r="N26" s="27"/>
      <c r="O26" s="27"/>
    </row>
    <row r="27" spans="1:19" x14ac:dyDescent="0.35">
      <c r="A27" s="40">
        <v>44228</v>
      </c>
      <c r="B27" s="41">
        <v>51.99</v>
      </c>
      <c r="C27" s="42">
        <v>3890</v>
      </c>
      <c r="D27" s="41"/>
      <c r="E27" s="22">
        <v>8.8475779951302513E-4</v>
      </c>
      <c r="F27" s="43">
        <v>1.6501942500170452E-2</v>
      </c>
      <c r="H27" s="55">
        <v>3</v>
      </c>
      <c r="I27" s="27"/>
      <c r="J27" s="27"/>
      <c r="K27" s="27"/>
      <c r="L27" s="27"/>
      <c r="M27" s="27"/>
      <c r="N27" s="27"/>
      <c r="O27" s="27"/>
    </row>
    <row r="28" spans="1:19" x14ac:dyDescent="0.35">
      <c r="A28" s="37">
        <v>44256</v>
      </c>
      <c r="B28" s="38">
        <v>61.95</v>
      </c>
      <c r="C28" s="39">
        <v>4027</v>
      </c>
      <c r="D28" s="38"/>
      <c r="E28" s="23">
        <v>-1.7500489349920878E-3</v>
      </c>
      <c r="F28" s="44">
        <v>2.0217705905672068E-2</v>
      </c>
    </row>
    <row r="29" spans="1:19" x14ac:dyDescent="0.35">
      <c r="A29" s="40">
        <v>44287</v>
      </c>
      <c r="B29" s="41">
        <v>59.49</v>
      </c>
      <c r="C29" s="42">
        <v>4104</v>
      </c>
      <c r="D29" s="41"/>
      <c r="E29" s="22">
        <v>8.8941146354393208E-3</v>
      </c>
      <c r="F29" s="43">
        <v>2.1402052601375843E-2</v>
      </c>
    </row>
    <row r="30" spans="1:19" x14ac:dyDescent="0.35">
      <c r="A30" s="37">
        <v>44317</v>
      </c>
      <c r="B30" s="38">
        <v>63.64</v>
      </c>
      <c r="C30" s="39">
        <v>4578</v>
      </c>
      <c r="D30" s="38"/>
      <c r="E30" s="23">
        <v>-3.4685393219540117E-3</v>
      </c>
      <c r="F30" s="44">
        <v>2.9181879527473864E-2</v>
      </c>
    </row>
    <row r="31" spans="1:19" x14ac:dyDescent="0.35">
      <c r="A31" s="40">
        <v>44348</v>
      </c>
      <c r="B31" s="41">
        <v>66.680000000000007</v>
      </c>
      <c r="C31" s="42">
        <v>4130</v>
      </c>
      <c r="D31" s="41"/>
      <c r="E31" s="22">
        <v>1.7300231693495594E-3</v>
      </c>
      <c r="F31" s="43">
        <v>2.1859097865048804E-2</v>
      </c>
    </row>
    <row r="32" spans="1:19" x14ac:dyDescent="0.35">
      <c r="A32" s="37">
        <v>44378</v>
      </c>
      <c r="B32" s="38">
        <v>73.5</v>
      </c>
      <c r="C32" s="39">
        <v>3950</v>
      </c>
      <c r="D32" s="38"/>
      <c r="E32" s="23">
        <v>-8.8231083440504232E-4</v>
      </c>
      <c r="F32" s="44">
        <v>2.6406441506210632E-2</v>
      </c>
    </row>
    <row r="33" spans="1:6" x14ac:dyDescent="0.35">
      <c r="A33" s="40">
        <v>44409</v>
      </c>
      <c r="B33" s="41">
        <v>73.91</v>
      </c>
      <c r="C33" s="42">
        <v>4490</v>
      </c>
      <c r="D33" s="41"/>
      <c r="E33" s="22">
        <v>-5.1282423222831497E-4</v>
      </c>
      <c r="F33" s="43">
        <v>2.296764233512727E-2</v>
      </c>
    </row>
    <row r="34" spans="1:6" x14ac:dyDescent="0.35">
      <c r="A34" s="37">
        <v>44440</v>
      </c>
      <c r="B34" s="38">
        <v>68.55</v>
      </c>
      <c r="C34" s="39">
        <v>4441</v>
      </c>
      <c r="D34" s="38"/>
      <c r="E34" s="23">
        <v>3.4593585116797776E-3</v>
      </c>
      <c r="F34" s="44">
        <v>2.5567364761637013E-2</v>
      </c>
    </row>
    <row r="35" spans="1:6" x14ac:dyDescent="0.35">
      <c r="A35" s="40">
        <v>44470</v>
      </c>
      <c r="B35" s="41">
        <v>75.12</v>
      </c>
      <c r="C35" s="42">
        <v>4791</v>
      </c>
      <c r="D35" s="41"/>
      <c r="E35" s="22">
        <v>5.7939139606273393E-3</v>
      </c>
      <c r="F35" s="43">
        <v>2.6862013693352615E-2</v>
      </c>
    </row>
    <row r="36" spans="1:6" x14ac:dyDescent="0.35">
      <c r="A36" s="37">
        <v>44501</v>
      </c>
      <c r="B36" s="38">
        <v>83.36</v>
      </c>
      <c r="C36" s="39">
        <v>5400</v>
      </c>
      <c r="D36" s="38"/>
      <c r="E36" s="23">
        <v>7.5879019388076507E-3</v>
      </c>
      <c r="F36" s="44">
        <v>2.5727982802145277E-2</v>
      </c>
    </row>
    <row r="37" spans="1:6" x14ac:dyDescent="0.35">
      <c r="A37" s="40">
        <v>44531</v>
      </c>
      <c r="B37" s="41">
        <v>67.010000000000005</v>
      </c>
      <c r="C37" s="42">
        <v>5217</v>
      </c>
      <c r="D37" s="41"/>
      <c r="E37" s="22">
        <v>9.8218481931344748E-3</v>
      </c>
      <c r="F37" s="43">
        <v>2.5460498928402631E-2</v>
      </c>
    </row>
    <row r="38" spans="1:6" x14ac:dyDescent="0.35">
      <c r="A38" s="37">
        <v>44562</v>
      </c>
      <c r="B38" s="38">
        <v>75.69</v>
      </c>
      <c r="C38" s="39">
        <v>5260</v>
      </c>
      <c r="D38" s="38"/>
      <c r="E38" s="23">
        <v>-3.915208672400361E-3</v>
      </c>
      <c r="F38" s="44">
        <v>3.7334606835254469E-2</v>
      </c>
    </row>
    <row r="39" spans="1:6" x14ac:dyDescent="0.35">
      <c r="A39" s="40">
        <v>44593</v>
      </c>
      <c r="B39" s="41">
        <v>88.15</v>
      </c>
      <c r="C39" s="42">
        <v>5680</v>
      </c>
      <c r="D39" s="41"/>
      <c r="E39" s="22">
        <v>9.2856399612202267E-3</v>
      </c>
      <c r="F39" s="43">
        <v>2.7868004530288593E-2</v>
      </c>
    </row>
    <row r="40" spans="1:6" x14ac:dyDescent="0.35">
      <c r="A40" s="37">
        <v>44621</v>
      </c>
      <c r="B40" s="38">
        <v>96.09</v>
      </c>
      <c r="C40" s="39">
        <v>7365</v>
      </c>
      <c r="D40" s="38"/>
      <c r="E40" s="23">
        <v>1.1479474848938409E-2</v>
      </c>
      <c r="F40" s="44">
        <v>3.6495369385791676E-2</v>
      </c>
    </row>
    <row r="41" spans="1:6" x14ac:dyDescent="0.35">
      <c r="A41" s="40">
        <v>44652</v>
      </c>
      <c r="B41" s="41">
        <v>101.23</v>
      </c>
      <c r="C41" s="42">
        <v>6353</v>
      </c>
      <c r="D41" s="41"/>
      <c r="E41" s="22">
        <v>6.4896185287550701E-3</v>
      </c>
      <c r="F41" s="43">
        <v>5.023174886328996E-2</v>
      </c>
    </row>
    <row r="42" spans="1:6" x14ac:dyDescent="0.35">
      <c r="A42" s="37">
        <v>44682</v>
      </c>
      <c r="B42" s="38">
        <v>104</v>
      </c>
      <c r="C42" s="39">
        <v>7473</v>
      </c>
      <c r="D42" s="38"/>
      <c r="E42" s="23">
        <v>7.7508397119807615E-3</v>
      </c>
      <c r="F42" s="44">
        <v>4.772873282362311E-2</v>
      </c>
    </row>
    <row r="43" spans="1:6" x14ac:dyDescent="0.35">
      <c r="A43" s="40">
        <v>44713</v>
      </c>
      <c r="B43" s="41">
        <v>115.4</v>
      </c>
      <c r="C43" s="42">
        <v>6632</v>
      </c>
      <c r="D43" s="41"/>
      <c r="E43" s="22">
        <v>3.5790332995919716E-3</v>
      </c>
      <c r="F43" s="43">
        <v>5.9524512728348133E-2</v>
      </c>
    </row>
    <row r="44" spans="1:6" x14ac:dyDescent="0.35">
      <c r="A44" s="37">
        <v>44743</v>
      </c>
      <c r="B44" s="38">
        <v>106.01</v>
      </c>
      <c r="C44" s="39">
        <v>5001</v>
      </c>
      <c r="D44" s="38"/>
      <c r="E44" s="23">
        <v>-4.1589680266170825E-3</v>
      </c>
      <c r="F44" s="44">
        <v>6.1480200899774351E-2</v>
      </c>
    </row>
    <row r="45" spans="1:6" x14ac:dyDescent="0.35">
      <c r="A45" s="40">
        <v>44774</v>
      </c>
      <c r="B45" s="41">
        <v>98.46</v>
      </c>
      <c r="C45" s="42">
        <v>4100</v>
      </c>
      <c r="D45" s="41"/>
      <c r="E45" s="22">
        <v>1.4150766082445365E-2</v>
      </c>
      <c r="F45" s="43">
        <v>5.7999022683848933E-2</v>
      </c>
    </row>
    <row r="46" spans="1:6" x14ac:dyDescent="0.35">
      <c r="A46" s="37">
        <v>44805</v>
      </c>
      <c r="B46" s="38">
        <v>88.83</v>
      </c>
      <c r="C46" s="39">
        <v>4000</v>
      </c>
      <c r="D46" s="38"/>
    </row>
    <row r="47" spans="1:6" x14ac:dyDescent="0.35">
      <c r="A47" s="40">
        <v>44835</v>
      </c>
    </row>
    <row r="49" spans="2:6" x14ac:dyDescent="0.35">
      <c r="F49" s="44">
        <v>7.352104697600037E-2</v>
      </c>
    </row>
    <row r="50" spans="2:6" x14ac:dyDescent="0.35">
      <c r="B50" s="45">
        <v>81.02</v>
      </c>
      <c r="C50" s="3">
        <v>3307</v>
      </c>
      <c r="E50" s="23">
        <v>2.5050927237362242E-3</v>
      </c>
      <c r="F50" s="43">
        <v>7.2500154202339795E-2</v>
      </c>
    </row>
    <row r="122" spans="6:10" x14ac:dyDescent="0.35">
      <c r="G122" t="s">
        <v>36</v>
      </c>
      <c r="H122" t="s">
        <v>36</v>
      </c>
      <c r="I122" t="s">
        <v>38</v>
      </c>
      <c r="J122" t="s">
        <v>39</v>
      </c>
    </row>
    <row r="123" spans="6:10" x14ac:dyDescent="0.35">
      <c r="F123" t="s">
        <v>37</v>
      </c>
      <c r="I123" s="16">
        <v>100</v>
      </c>
      <c r="J123" s="16">
        <v>5</v>
      </c>
    </row>
    <row r="124" spans="6:10" x14ac:dyDescent="0.35">
      <c r="F124" t="s">
        <v>31</v>
      </c>
      <c r="G124" s="18"/>
    </row>
    <row r="125" spans="6:10" x14ac:dyDescent="0.35">
      <c r="F125" t="s">
        <v>30</v>
      </c>
      <c r="G125" s="18"/>
    </row>
    <row r="126" spans="6:10" x14ac:dyDescent="0.35">
      <c r="F126" t="s">
        <v>32</v>
      </c>
      <c r="G126" s="18"/>
    </row>
  </sheetData>
  <mergeCells count="4">
    <mergeCell ref="J9:O9"/>
    <mergeCell ref="J20:S20"/>
    <mergeCell ref="H9:I9"/>
    <mergeCell ref="H20:I20"/>
  </mergeCells>
  <conditionalFormatting sqref="E2:E45 E50">
    <cfRule type="cellIs" dxfId="0" priority="1" operator="lessThan">
      <formula>0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48"/>
  <sheetViews>
    <sheetView workbookViewId="0">
      <selection activeCell="B8" sqref="B8"/>
    </sheetView>
  </sheetViews>
  <sheetFormatPr defaultColWidth="11" defaultRowHeight="15.5" x14ac:dyDescent="0.35"/>
  <cols>
    <col min="1" max="1" width="8.6640625"/>
    <col min="2" max="2" width="20.25" bestFit="1" customWidth="1"/>
    <col min="3" max="3" width="30.9140625" customWidth="1"/>
    <col min="5" max="5" width="9.75" customWidth="1"/>
    <col min="6" max="6" width="36.08203125" customWidth="1"/>
    <col min="7" max="7" width="8.4140625" customWidth="1"/>
    <col min="8" max="8" width="7" customWidth="1"/>
    <col min="9" max="9" width="6" customWidth="1"/>
    <col min="10" max="10" width="14.83203125" bestFit="1" customWidth="1"/>
    <col min="11" max="11" width="8" customWidth="1"/>
    <col min="12" max="12" width="13.83203125" bestFit="1" customWidth="1"/>
  </cols>
  <sheetData>
    <row r="1" spans="1:12" x14ac:dyDescent="0.35">
      <c r="A1" t="s">
        <v>48</v>
      </c>
    </row>
    <row r="2" spans="1:12" x14ac:dyDescent="0.35">
      <c r="A2" s="38">
        <v>99</v>
      </c>
      <c r="B2" s="3"/>
      <c r="D2" s="19"/>
      <c r="F2" s="16"/>
    </row>
    <row r="3" spans="1:12" x14ac:dyDescent="0.35">
      <c r="A3" s="41">
        <v>98.5</v>
      </c>
      <c r="B3" s="3"/>
      <c r="F3" s="15"/>
      <c r="G3" s="5"/>
    </row>
    <row r="4" spans="1:12" x14ac:dyDescent="0.35">
      <c r="A4" s="38">
        <v>97.6</v>
      </c>
      <c r="B4" s="3"/>
      <c r="F4" s="15"/>
    </row>
    <row r="5" spans="1:12" x14ac:dyDescent="0.35">
      <c r="A5" s="41">
        <v>81.5</v>
      </c>
      <c r="B5" s="3"/>
      <c r="G5" s="4"/>
    </row>
    <row r="6" spans="1:12" x14ac:dyDescent="0.35">
      <c r="A6" s="38">
        <v>87</v>
      </c>
      <c r="B6" s="3"/>
      <c r="F6" s="18"/>
      <c r="G6" s="17"/>
    </row>
    <row r="7" spans="1:12" x14ac:dyDescent="0.35">
      <c r="A7" s="41">
        <v>75.3</v>
      </c>
      <c r="B7" s="3"/>
      <c r="F7" s="5"/>
      <c r="G7" s="5"/>
    </row>
    <row r="8" spans="1:12" x14ac:dyDescent="0.35">
      <c r="A8" s="38">
        <v>75.2</v>
      </c>
      <c r="B8" s="3"/>
      <c r="F8" s="18"/>
      <c r="G8" s="5"/>
    </row>
    <row r="9" spans="1:12" x14ac:dyDescent="0.35">
      <c r="A9" s="41">
        <v>68.900000000000006</v>
      </c>
      <c r="B9" s="3"/>
      <c r="G9" s="5"/>
    </row>
    <row r="10" spans="1:12" x14ac:dyDescent="0.35">
      <c r="A10" s="38">
        <v>65.25</v>
      </c>
      <c r="B10" s="3"/>
      <c r="G10" s="5"/>
    </row>
    <row r="11" spans="1:12" x14ac:dyDescent="0.35">
      <c r="A11" s="41">
        <v>68</v>
      </c>
      <c r="B11" s="3"/>
      <c r="D11" s="19"/>
    </row>
    <row r="12" spans="1:12" x14ac:dyDescent="0.35">
      <c r="A12" s="38">
        <v>66.5</v>
      </c>
      <c r="B12" s="3"/>
      <c r="G12" s="20"/>
      <c r="H12" s="19"/>
      <c r="I12" s="19"/>
    </row>
    <row r="13" spans="1:12" x14ac:dyDescent="0.35">
      <c r="A13" s="41">
        <v>67.75</v>
      </c>
      <c r="B13" s="3"/>
      <c r="D13" s="19"/>
      <c r="G13" s="21"/>
      <c r="J13" s="16"/>
      <c r="L13" s="16"/>
    </row>
    <row r="14" spans="1:12" x14ac:dyDescent="0.35">
      <c r="A14" s="38">
        <v>67.5</v>
      </c>
      <c r="B14" s="3"/>
      <c r="J14" s="16"/>
      <c r="L14" s="16"/>
    </row>
    <row r="15" spans="1:12" x14ac:dyDescent="0.35">
      <c r="A15" s="41">
        <v>69</v>
      </c>
      <c r="B15" s="3"/>
      <c r="J15" s="16"/>
      <c r="L15" s="16"/>
    </row>
    <row r="16" spans="1:12" x14ac:dyDescent="0.35">
      <c r="A16" s="38">
        <v>66.25</v>
      </c>
      <c r="B16" s="3"/>
      <c r="J16" s="16"/>
      <c r="L16" s="16"/>
    </row>
    <row r="17" spans="1:3" x14ac:dyDescent="0.35">
      <c r="A17" s="41">
        <v>67.25</v>
      </c>
      <c r="B17" s="3"/>
      <c r="C17" s="4"/>
    </row>
    <row r="18" spans="1:3" x14ac:dyDescent="0.35">
      <c r="A18" s="38">
        <v>51.5</v>
      </c>
      <c r="B18" s="3"/>
    </row>
    <row r="19" spans="1:3" x14ac:dyDescent="0.35">
      <c r="A19" s="41">
        <v>55.5</v>
      </c>
      <c r="B19" s="3"/>
    </row>
    <row r="20" spans="1:3" x14ac:dyDescent="0.35">
      <c r="A20" s="38">
        <v>51.6</v>
      </c>
      <c r="B20" s="3"/>
    </row>
    <row r="21" spans="1:3" x14ac:dyDescent="0.35">
      <c r="A21" s="41">
        <v>52.4</v>
      </c>
      <c r="B21" s="3"/>
    </row>
    <row r="22" spans="1:3" x14ac:dyDescent="0.35">
      <c r="A22" s="38">
        <v>51.5</v>
      </c>
      <c r="B22" s="3"/>
    </row>
    <row r="23" spans="1:3" x14ac:dyDescent="0.35">
      <c r="A23" s="41">
        <v>58.25</v>
      </c>
      <c r="B23" s="3"/>
    </row>
    <row r="24" spans="1:3" x14ac:dyDescent="0.35">
      <c r="A24" s="38">
        <v>59.75</v>
      </c>
      <c r="B24" s="3"/>
    </row>
    <row r="25" spans="1:3" x14ac:dyDescent="0.35">
      <c r="A25" s="41">
        <v>70.05</v>
      </c>
      <c r="B25" s="3"/>
    </row>
    <row r="26" spans="1:3" x14ac:dyDescent="0.35">
      <c r="A26" s="38">
        <v>82.25</v>
      </c>
      <c r="B26" s="3"/>
    </row>
    <row r="27" spans="1:3" x14ac:dyDescent="0.35">
      <c r="A27" s="41">
        <v>89.25</v>
      </c>
      <c r="B27" s="3"/>
    </row>
    <row r="28" spans="1:3" x14ac:dyDescent="0.35">
      <c r="A28" s="38">
        <v>84.5</v>
      </c>
      <c r="B28" s="3"/>
    </row>
    <row r="29" spans="1:3" x14ac:dyDescent="0.35">
      <c r="A29" s="41">
        <v>97</v>
      </c>
      <c r="B29" s="3"/>
    </row>
    <row r="30" spans="1:3" x14ac:dyDescent="0.35">
      <c r="A30" s="38">
        <v>95.15</v>
      </c>
      <c r="B30" s="3"/>
    </row>
    <row r="31" spans="1:3" x14ac:dyDescent="0.35">
      <c r="A31" s="41">
        <v>119</v>
      </c>
      <c r="B31" s="3"/>
    </row>
    <row r="32" spans="1:3" x14ac:dyDescent="0.35">
      <c r="A32" s="38">
        <v>137.75</v>
      </c>
      <c r="B32" s="3"/>
    </row>
    <row r="33" spans="1:3" x14ac:dyDescent="0.35">
      <c r="A33" s="41">
        <v>152.75</v>
      </c>
      <c r="B33" s="3"/>
    </row>
    <row r="34" spans="1:3" x14ac:dyDescent="0.35">
      <c r="A34" s="38">
        <v>180</v>
      </c>
      <c r="B34" s="3"/>
    </row>
    <row r="35" spans="1:3" x14ac:dyDescent="0.35">
      <c r="A35" s="41">
        <v>228</v>
      </c>
      <c r="B35" s="3"/>
    </row>
    <row r="36" spans="1:3" x14ac:dyDescent="0.35">
      <c r="A36" s="38">
        <v>155</v>
      </c>
      <c r="B36" s="3"/>
    </row>
    <row r="37" spans="1:3" x14ac:dyDescent="0.35">
      <c r="A37" s="41">
        <v>157</v>
      </c>
      <c r="B37" s="3"/>
    </row>
    <row r="38" spans="1:3" x14ac:dyDescent="0.35">
      <c r="A38" s="38">
        <v>172</v>
      </c>
      <c r="B38" s="3"/>
    </row>
    <row r="39" spans="1:3" x14ac:dyDescent="0.35">
      <c r="A39" s="41">
        <v>210</v>
      </c>
      <c r="B39" s="3"/>
    </row>
    <row r="40" spans="1:3" x14ac:dyDescent="0.35">
      <c r="A40" s="38">
        <v>299</v>
      </c>
      <c r="B40" s="3"/>
    </row>
    <row r="41" spans="1:3" x14ac:dyDescent="0.35">
      <c r="A41" s="41">
        <v>296</v>
      </c>
      <c r="B41" s="3"/>
    </row>
    <row r="42" spans="1:3" x14ac:dyDescent="0.35">
      <c r="A42" s="38">
        <v>325</v>
      </c>
      <c r="B42" s="3"/>
    </row>
    <row r="43" spans="1:3" x14ac:dyDescent="0.35">
      <c r="A43" s="41">
        <v>415</v>
      </c>
      <c r="B43" s="3"/>
    </row>
    <row r="44" spans="1:3" x14ac:dyDescent="0.35">
      <c r="A44" s="38">
        <v>411</v>
      </c>
      <c r="B44" s="3"/>
    </row>
    <row r="45" spans="1:3" x14ac:dyDescent="0.35">
      <c r="A45" s="41">
        <v>390</v>
      </c>
      <c r="B45" s="3"/>
      <c r="C45" s="5"/>
    </row>
    <row r="46" spans="1:3" x14ac:dyDescent="0.35">
      <c r="A46" s="38">
        <v>430</v>
      </c>
      <c r="B46" s="3"/>
      <c r="C46" s="4"/>
    </row>
    <row r="47" spans="1:3" x14ac:dyDescent="0.35">
      <c r="B47" s="3"/>
      <c r="C47" s="5"/>
    </row>
    <row r="48" spans="1:3" x14ac:dyDescent="0.35">
      <c r="C48" s="5"/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defaultColWidth="8.83203125" defaultRowHeight="15.5" x14ac:dyDescent="0.35"/>
  <cols>
    <col min="1" max="1" width="14.75" style="1" customWidth="1"/>
    <col min="2" max="2" width="9.25" style="1" customWidth="1"/>
    <col min="3" max="16384" width="8.83203125" style="1"/>
  </cols>
  <sheetData>
    <row r="1" spans="1:2" x14ac:dyDescent="0.35">
      <c r="A1" s="1" t="s">
        <v>8</v>
      </c>
      <c r="B1" s="1" t="s">
        <v>13</v>
      </c>
    </row>
    <row r="2" spans="1:2" x14ac:dyDescent="0.35">
      <c r="A2" s="1" t="s">
        <v>9</v>
      </c>
    </row>
    <row r="3" spans="1:2" x14ac:dyDescent="0.35">
      <c r="A3" s="1" t="s">
        <v>0</v>
      </c>
    </row>
    <row r="4" spans="1:2" x14ac:dyDescent="0.35">
      <c r="A4" s="1" t="s">
        <v>7</v>
      </c>
    </row>
    <row r="5" spans="1:2" x14ac:dyDescent="0.35">
      <c r="A5" s="1" t="s">
        <v>5</v>
      </c>
    </row>
    <row r="6" spans="1:2" x14ac:dyDescent="0.35">
      <c r="A6" s="1" t="s">
        <v>1</v>
      </c>
    </row>
    <row r="7" spans="1:2" x14ac:dyDescent="0.35">
      <c r="A7" s="1" t="s">
        <v>2</v>
      </c>
      <c r="B7" s="1" t="b">
        <v>0</v>
      </c>
    </row>
    <row r="8" spans="1:2" x14ac:dyDescent="0.35">
      <c r="A8" s="1" t="s">
        <v>3</v>
      </c>
      <c r="B8" s="1" t="b">
        <v>0</v>
      </c>
    </row>
    <row r="9" spans="1:2" x14ac:dyDescent="0.35">
      <c r="A9" s="1" t="s">
        <v>14</v>
      </c>
      <c r="B9" s="1" t="b">
        <v>0</v>
      </c>
    </row>
    <row r="13" spans="1:2" x14ac:dyDescent="0.35">
      <c r="A13" s="2" t="s">
        <v>4</v>
      </c>
    </row>
    <row r="14" spans="1:2" x14ac:dyDescent="0.35">
      <c r="A14" s="1" t="s">
        <v>10</v>
      </c>
    </row>
    <row r="15" spans="1:2" x14ac:dyDescent="0.35">
      <c r="A15" s="1" t="s">
        <v>11</v>
      </c>
    </row>
    <row r="16" spans="1:2" x14ac:dyDescent="0.35">
      <c r="A16" s="1" t="s">
        <v>6</v>
      </c>
    </row>
    <row r="17" spans="1:1" x14ac:dyDescent="0.35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Fan Chart</vt:lpstr>
      <vt:lpstr>UV</vt:lpstr>
      <vt:lpstr>MV</vt:lpstr>
      <vt:lpstr>Sheet1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Lutfiyanti</cp:lastModifiedBy>
  <dcterms:created xsi:type="dcterms:W3CDTF">2015-01-25T11:31:25Z</dcterms:created>
  <dcterms:modified xsi:type="dcterms:W3CDTF">2022-11-25T03:43:41Z</dcterms:modified>
</cp:coreProperties>
</file>